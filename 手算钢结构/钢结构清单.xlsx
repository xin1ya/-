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PS Office\12.1.0.28505\office6\"/>
    </mc:Choice>
  </mc:AlternateContent>
  <bookViews>
    <workbookView windowWidth="27945" windowHeight="12255"/>
  </bookViews>
  <sheets>
    <sheet name="BQ3.6风雨连廊 (2)" sheetId="1" r:id="rId1"/>
  </sheets>
  <externalReferences>
    <externalReference r:id="rId2"/>
    <externalReference r:id="rId3"/>
  </externalReferences>
  <definedNames>
    <definedName name="_xlnm._FilterDatabase" localSheetId="0" hidden="1">'BQ3.6风雨连廊 (2)'!$A$1:$EW$146</definedName>
    <definedName name="lap">[1]General!$B$2:$G$9</definedName>
    <definedName name="cap" localSheetId="0">#REF!</definedName>
    <definedName name="cola" localSheetId="0">#REF!</definedName>
    <definedName name="colb" localSheetId="0">#REF!</definedName>
    <definedName name="_xlnm.Print_Area" localSheetId="0">'BQ3.6风雨连廊 (2)'!$A$1:$H$68</definedName>
    <definedName name="_xlnm.Print_Titles" localSheetId="0">'BQ3.6风雨连廊 (2)'!$1:$7</definedName>
    <definedName name="多大的" localSheetId="0">#REF!</definedName>
    <definedName name="我问问"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<sst xmlns="http://schemas.openxmlformats.org/spreadsheetml/2006/main" count="79" uniqueCount="63">
  <si>
    <t>第三章 - 地上部分（风雨连廊）</t>
  </si>
  <si>
    <t>序号</t>
  </si>
  <si>
    <t>项目</t>
  </si>
  <si>
    <t>工程量（A）</t>
  </si>
  <si>
    <t>单位</t>
  </si>
  <si>
    <t>综合单价（B）</t>
  </si>
  <si>
    <t>合价（C=A*B）</t>
  </si>
  <si>
    <t>主材费（a）</t>
  </si>
  <si>
    <t>安装及其他费(b)</t>
  </si>
  <si>
    <t>小计(c=a+b)</t>
  </si>
  <si>
    <t>3.6  建筑工程</t>
  </si>
  <si>
    <t>3.6.1 钢筋混凝土工程</t>
  </si>
  <si>
    <t>混凝土工程编制说明：</t>
  </si>
  <si>
    <t>1.如无特别说明，所有混凝土均采用预拌商品混凝土。包括混凝土损耗、运送、升降、浇筑、振捣及养护等。</t>
  </si>
  <si>
    <t>2.混凝土单价需包含所有图纸或工程规范规定的各种添加剂，包括微膨胀剂、缓凝剂、阻锈剂等。</t>
  </si>
  <si>
    <t>3.混凝土单价需包含所有混凝土墙体上水管的压槽等。</t>
  </si>
  <si>
    <t>4.现浇钢筋混凝土单价需包含表面清扫干净,打磨平整，板面随浇随抹平</t>
  </si>
  <si>
    <r>
      <rPr>
        <u/>
        <sz val="10.5"/>
        <rFont val="宋体"/>
        <charset val="134"/>
        <scheme val="minor"/>
      </rPr>
      <t>5.现浇混凝土楼板单价</t>
    </r>
    <r>
      <rPr>
        <sz val="10.5"/>
        <rFont val="宋体"/>
        <charset val="134"/>
      </rPr>
      <t>需</t>
    </r>
    <r>
      <rPr>
        <u/>
        <sz val="10.5"/>
        <rFont val="宋体"/>
        <charset val="134"/>
      </rPr>
      <t>包含楼板各类洞口混凝土封堵及后浇工序相关一切费用</t>
    </r>
  </si>
  <si>
    <t>6.按图纸及规范，墙柱梁板混凝土强度交界部位高强度混凝土扩浇施工所涉及的工料机及措施费用，需纳入低标号混凝土清单单价</t>
  </si>
  <si>
    <t>现浇C35商品混凝土</t>
  </si>
  <si>
    <t>于板</t>
  </si>
  <si>
    <t>m3</t>
  </si>
  <si>
    <t>钢筋工程编制说明：</t>
  </si>
  <si>
    <t>1.按规定供应及安装Ⅰ、Ⅱ、Ⅲ、IV级现浇混凝土钢筋，包括箍筋。所有钢筋单价应包括钢筋供应、接收、卸货、验收、仓储、保管、运送、切割、弯曲、捆扎铁线、定位支托及相关之费用，单价亦包括一切钢筋（按钢筋级别分别列项）。</t>
  </si>
  <si>
    <t>2.钢筋重量计算：钢筋统一使用广联达软件最新版本、统一选取：设置规则详见《广联达钢筋、砼计算标准设置》。</t>
  </si>
  <si>
    <t>3.钢筋项目中的重量是按图示的净长度加上规定的锚固、弯钩长度来换算的，承包人应将公差重量，所有搭接(也包括长度大于8米时所需的搭接)和成型时的损耗量考虑在综合单价内。</t>
  </si>
  <si>
    <t>4.机械接头（电渣压力焊、套筒等）均不单独列项，根据规范要求设置，在钢筋单价分析中需列项分析。</t>
  </si>
  <si>
    <t>5.钢筋搭接、现浇构件中固定位置的支撑钢筋、伸出构件的锚固钢筋、预制构件的吊钩、相关措施筋（马凳筋、铁垫等）、洞口加强筋等包含在钢筋综合单价中。</t>
  </si>
  <si>
    <t>6.砌体拉接筋、二次结构钢筋（包括结构平面图未注明的构造柱（随主体结构一次浇筑的构造柱除外）、圈梁、过梁等）不单独列项报价，包含在砌体综合报价中（单价分析中必须体现）。</t>
  </si>
  <si>
    <t>7.图纸要求采用带“E”的热轧带肋钢筋增加费用已在钢筋综合单价中考虑。</t>
  </si>
  <si>
    <t>8.本工程设计图纸表示的Φ6的钢筋，如果实际无法购买，导致施工使用Φ6.5钢筋代替，请投标单位自行在报价中考虑，本清单工程量按设计图Φ6钢筋计算。</t>
  </si>
  <si>
    <t>于钢筋混凝土剪力墙（包括暗柱、连梁）、柱、梁、板 、楼梯</t>
  </si>
  <si>
    <t>I级钢筋</t>
  </si>
  <si>
    <t>kg</t>
  </si>
  <si>
    <t>III级钢筋</t>
  </si>
  <si>
    <t>IV级钢筋</t>
  </si>
  <si>
    <t>于其他</t>
  </si>
  <si>
    <t>钢结构</t>
  </si>
  <si>
    <t>单价综合考虑钢材规格、深化设计、加工制作、安装高度、现场吊装等内容</t>
  </si>
  <si>
    <t>单价含加工深化设计，制作、场内外运输、拼装、焊接、检测、安装、探伤等，锚栓、焊钉、冲钉、开孔、检修口、橡胶垫片、螺栓、钢筋连接器、Z向性能等，除锈打磨、除锈漆、防腐等</t>
  </si>
  <si>
    <t>1、钢柱
2、材质：Q355B
3、钢构表面涂料：底漆为环氧富锌漆,中漆为云氧化橡胶,面漆为氧化橡胶丙稀酸磁漆;无机富氧底漆二遍,中间漆两遍,脂肪族聚氨脂面漆二遍。防腐蚀干漆膜总厚度要求(室内不少于125微米,室外不少于150微米)</t>
  </si>
  <si>
    <t>1、钢梁
2、材质：Q355B
3、钢构表面涂料：底漆为环氧富锌漆,中漆为云氧化橡胶,面漆为氧化橡胶丙稀酸磁漆;无机富氧底漆二遍,中间漆两遍,脂肪族聚氨脂面漆二遍。防腐蚀干漆膜总厚度要求(室内不少于125微米,室外不少于150微米)</t>
  </si>
  <si>
    <t>1、埋件
2、材质：综合考虑</t>
  </si>
  <si>
    <t>1、钢构表面防火涂料：非膨胀型，耐火极限3.0H</t>
  </si>
  <si>
    <t>m2</t>
  </si>
  <si>
    <t>1、钢构表面防火涂料：薄涂型，耐火极限2.0H</t>
  </si>
  <si>
    <t>预制构件安装</t>
  </si>
  <si>
    <t>采用乙方自行采购模式：预制钢筋混凝土构件（简称“PC构件”）的采购与安装，包含图纸深化设计、模具深化、构件生产、运输及安装。</t>
  </si>
  <si>
    <t>包含预制构件内各类钢筋（含桁架筋、桁架楼承板支座水平筋、支座竖筋）、预埋在预制件的各类套筒、铁件、线管、线盒及止水节预埋、灌浆、塞缝处理，单价综合考虑预制构件的设计、预制件的模具、制作、运输到场、安（吊）装、固定、安装措施、底部模板及支撑、成品保护、试验费、构件与构件或非构件连接的人材机及安全防护等相关费用。</t>
  </si>
  <si>
    <t>钢筋桁架楼承板工程量按设计图示尺寸以水平投影面积计算</t>
  </si>
  <si>
    <t>钢筋桁架楼承板，HB2-100</t>
  </si>
  <si>
    <r>
      <rPr>
        <sz val="10.5"/>
        <rFont val="Arial"/>
        <charset val="0"/>
      </rPr>
      <t>3.6.1</t>
    </r>
    <r>
      <rPr>
        <sz val="10.5"/>
        <rFont val="宋体"/>
        <charset val="0"/>
      </rPr>
      <t>钢筋混凝土工程合计</t>
    </r>
  </si>
  <si>
    <t>3.6.2 其他</t>
  </si>
  <si>
    <t>由承包人自行填报（包括承包人认为的漏项或工程量偏少等）投标单位须将有关项目和工程详列及报价，若此项下无投标单位报价，则有关费用将被视为已包括在其他报价和总价中，因投标单位的忽视、误解、错误等原因造成费用增加，将不能得到补偿或赔偿</t>
  </si>
  <si>
    <r>
      <rPr>
        <sz val="10.5"/>
        <rFont val="Arial"/>
        <charset val="0"/>
      </rPr>
      <t>3.6.2</t>
    </r>
    <r>
      <rPr>
        <sz val="10.5"/>
        <rFont val="宋体"/>
        <charset val="0"/>
      </rPr>
      <t>其他合计</t>
    </r>
  </si>
  <si>
    <t>地上部分(商业)</t>
  </si>
  <si>
    <t>合计-BQ3.6/SUM</t>
  </si>
  <si>
    <t>3.6 建筑工程</t>
  </si>
  <si>
    <t xml:space="preserve">        3.6.1 钢筋混凝土工程</t>
  </si>
  <si>
    <t>元</t>
  </si>
  <si>
    <t xml:space="preserve">        3.6.2 其他</t>
  </si>
  <si>
    <t>转至地上部分总计            人民币/元</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</si>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</sst>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0_);[Red]\(0.000\)"/>
  </numFmts>
  <fonts count="43">
    <font>
      <sz val="12"/>
      <name val="宋体"/>
      <charset val="134"/>
    </font>
    <font>
      <sz val="9"/>
      <name val="宋体"/>
      <charset val="134"/>
      <scheme val="minor"/>
    </font>
    <font>
      <sz val="10.5"/>
      <name val="宋体"/>
      <charset val="134"/>
      <scheme val="minor"/>
    </font>
    <font>
      <sz val="10.5"/>
      <name val="Arial"/>
      <charset val="0"/>
    </font>
    <font>
      <sz val="10.5"/>
      <color rgb="FFFF0000"/>
      <name val="宋体"/>
      <charset val="134"/>
      <scheme val="minor"/>
    </font>
    <font>
      <sz val="10"/>
      <name val="宋体"/>
      <charset val="134"/>
    </font>
    <font>
      <u/>
      <sz val="10.5"/>
      <name val="宋体"/>
      <charset val="134"/>
      <scheme val="minor"/>
    </font>
    <font>
      <sz val="10.5"/>
      <name val="宋体"/>
      <charset val="134"/>
    </font>
    <font>
      <b/>
      <sz val="10.5"/>
      <name val="宋体"/>
      <charset val="134"/>
      <scheme val="minor"/>
    </font>
    <font>
      <b/>
      <sz val="10.5"/>
      <name val="Arial"/>
      <charset val="0"/>
    </font>
    <font>
      <sz val="10.5"/>
      <color rgb="FF000000"/>
      <name val="宋体"/>
      <charset val="134"/>
    </font>
    <font>
      <sz val="10.5"/>
      <color rgb="FFFF0000"/>
      <name val="Arial"/>
      <charset val="0"/>
    </font>
    <font>
      <u/>
      <sz val="10.5"/>
      <color rgb="FF000000"/>
      <name val="宋体"/>
      <charset val="134"/>
    </font>
    <font>
      <sz val="10.5"/>
      <color rgb="FFFF0000"/>
      <name val="宋体"/>
      <charset val="134"/>
    </font>
    <font>
      <b/>
      <sz val="10.5"/>
      <color rgb="FFFF0000"/>
      <name val="宋体"/>
      <charset val="134"/>
      <scheme val="minor"/>
    </font>
    <font>
      <u/>
      <sz val="10.5"/>
      <color rgb="FFFF0000"/>
      <name val="宋体"/>
      <charset val="134"/>
      <scheme val="minor"/>
    </font>
    <font>
      <sz val="12"/>
      <color rgb="FFFF0000"/>
      <name val="宋体"/>
      <charset val="134"/>
    </font>
    <font>
      <b/>
      <u/>
      <sz val="10.5"/>
      <color rgb="FFFF0000"/>
      <name val="宋体"/>
      <charset val="134"/>
      <scheme val="minor"/>
    </font>
    <font>
      <u/>
      <sz val="10.5"/>
      <color rgb="FFFF0000"/>
      <name val="宋体"/>
      <charset val="134"/>
    </font>
    <font>
      <b/>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楷体_GB2312"/>
      <charset val="134"/>
    </font>
    <font>
      <sz val="10.5"/>
      <name val="宋体"/>
      <charset val="0"/>
    </font>
    <font>
      <u/>
      <sz val="10.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style="thin">
        <color indexed="8"/>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right style="thin">
        <color auto="1"/>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2" borderId="1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0" applyNumberFormat="0" applyFill="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8" fillId="0" borderId="0" applyNumberFormat="0" applyFill="0" applyBorder="0" applyAlignment="0" applyProtection="0">
      <alignment vertical="center"/>
    </xf>
    <xf numFmtId="0" fontId="29" fillId="3" borderId="22" applyNumberFormat="0" applyAlignment="0" applyProtection="0">
      <alignment vertical="center"/>
    </xf>
    <xf numFmtId="0" fontId="30" fillId="4" borderId="23" applyNumberFormat="0" applyAlignment="0" applyProtection="0">
      <alignment vertical="center"/>
    </xf>
    <xf numFmtId="0" fontId="31" fillId="4" borderId="22" applyNumberFormat="0" applyAlignment="0" applyProtection="0">
      <alignment vertical="center"/>
    </xf>
    <xf numFmtId="0" fontId="32" fillId="5" borderId="24" applyNumberFormat="0" applyAlignment="0" applyProtection="0">
      <alignment vertical="center"/>
    </xf>
    <xf numFmtId="0" fontId="33" fillId="0" borderId="25" applyNumberFormat="0" applyFill="0" applyAlignment="0" applyProtection="0">
      <alignment vertical="center"/>
    </xf>
    <xf numFmtId="0" fontId="34" fillId="0" borderId="26"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40" fillId="0" borderId="0"/>
    <xf numFmtId="0" fontId="20" fillId="0" borderId="0">
      <alignment vertical="center"/>
    </xf>
    <xf numFmtId="0" fontId="0" fillId="0" borderId="0">
      <alignment vertical="center"/>
    </xf>
    <xf numFmtId="43" fontId="0" fillId="0" borderId="0" applyFont="0" applyFill="0" applyBorder="0" applyAlignment="0" applyProtection="0">
      <alignment vertical="center"/>
    </xf>
  </cellStyleXfs>
  <cellXfs count="139">
    <xf numFmtId="0" fontId="0" fillId="0" borderId="0" xfId="0">
      <alignment vertical="center"/>
    </xf>
    <xf numFmtId="0" fontId="1" fillId="0" borderId="0" xfId="51" applyFont="1" applyFill="1" applyAlignment="1">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4" fillId="0" borderId="0" xfId="0" applyFont="1" applyFill="1" applyAlignment="1">
      <alignment vertical="center"/>
    </xf>
    <xf numFmtId="0" fontId="2" fillId="0" borderId="0" xfId="0" applyFont="1" applyFill="1" applyBorder="1" applyAlignment="1">
      <alignment vertical="center"/>
    </xf>
    <xf numFmtId="0" fontId="2" fillId="0" borderId="1" xfId="0" applyFont="1" applyFill="1" applyBorder="1" applyAlignment="1">
      <alignment horizontal="center" vertical="center"/>
    </xf>
    <xf numFmtId="176" fontId="2" fillId="0" borderId="0" xfId="0" applyNumberFormat="1" applyFont="1" applyFill="1" applyAlignment="1">
      <alignment horizontal="center" vertical="center"/>
    </xf>
    <xf numFmtId="43" fontId="2" fillId="0" borderId="0" xfId="1" applyNumberFormat="1" applyFont="1" applyFill="1" applyAlignment="1">
      <alignment horizontal="center" vertical="center"/>
    </xf>
    <xf numFmtId="43" fontId="2" fillId="0" borderId="0" xfId="1" applyNumberFormat="1" applyFont="1" applyFill="1" applyAlignment="1">
      <alignment vertical="center"/>
    </xf>
    <xf numFmtId="0" fontId="0" fillId="0" borderId="0" xfId="0" applyFont="1" applyFill="1">
      <alignment vertical="center"/>
    </xf>
    <xf numFmtId="0" fontId="5" fillId="0" borderId="0" xfId="49" applyNumberFormat="1" applyFont="1" applyFill="1" applyBorder="1" applyAlignment="1">
      <alignment horizontal="left" vertical="center"/>
    </xf>
    <xf numFmtId="49" fontId="1" fillId="0" borderId="0" xfId="51" applyNumberFormat="1" applyFont="1" applyFill="1" applyAlignment="1">
      <alignment horizontal="right" vertical="center"/>
    </xf>
    <xf numFmtId="176" fontId="1" fillId="0" borderId="0" xfId="51" applyNumberFormat="1" applyFont="1" applyFill="1" applyAlignment="1">
      <alignment horizontal="center" vertical="center"/>
    </xf>
    <xf numFmtId="43" fontId="1" fillId="0" borderId="0" xfId="51" applyNumberFormat="1" applyFont="1" applyFill="1" applyAlignment="1">
      <alignment vertical="center"/>
    </xf>
    <xf numFmtId="43" fontId="1" fillId="0" borderId="0" xfId="51" applyNumberFormat="1" applyFont="1" applyFill="1" applyAlignment="1">
      <alignment horizontal="center" vertical="center"/>
    </xf>
    <xf numFmtId="49" fontId="1" fillId="0" borderId="0" xfId="49" applyNumberFormat="1" applyFont="1" applyFill="1" applyAlignment="1">
      <alignment horizontal="left" vertical="center"/>
    </xf>
    <xf numFmtId="176" fontId="1" fillId="0" borderId="0" xfId="0" applyNumberFormat="1" applyFont="1" applyFill="1" applyAlignment="1">
      <alignment horizontal="center" vertical="center"/>
    </xf>
    <xf numFmtId="43" fontId="1" fillId="0" borderId="0" xfId="0" applyNumberFormat="1" applyFont="1" applyFill="1" applyAlignment="1">
      <alignment horizontal="center" vertical="center"/>
    </xf>
    <xf numFmtId="43" fontId="1" fillId="0" borderId="0" xfId="0" applyNumberFormat="1" applyFont="1" applyFill="1" applyAlignment="1">
      <alignment vertical="center"/>
    </xf>
    <xf numFmtId="49" fontId="1" fillId="0" borderId="0" xfId="0" applyNumberFormat="1" applyFont="1" applyFill="1" applyBorder="1" applyAlignment="1">
      <alignment horizontal="left" vertical="center"/>
    </xf>
    <xf numFmtId="176" fontId="1" fillId="0" borderId="0" xfId="1" applyNumberFormat="1" applyFont="1" applyFill="1" applyAlignment="1">
      <alignment horizontal="center" vertical="center"/>
    </xf>
    <xf numFmtId="49" fontId="2" fillId="0" borderId="0" xfId="0" applyNumberFormat="1" applyFont="1" applyFill="1" applyBorder="1" applyAlignment="1">
      <alignment horizontal="left" vertical="center"/>
    </xf>
    <xf numFmtId="49" fontId="2" fillId="0" borderId="0" xfId="0" applyNumberFormat="1" applyFont="1" applyFill="1" applyAlignment="1">
      <alignment horizontal="left" vertical="center"/>
    </xf>
    <xf numFmtId="0" fontId="2" fillId="0" borderId="0" xfId="0" applyFont="1" applyFill="1" applyAlignment="1">
      <alignment horizontal="center" vertical="center"/>
    </xf>
    <xf numFmtId="43" fontId="6" fillId="0" borderId="0" xfId="0" applyNumberFormat="1" applyFont="1" applyFill="1" applyBorder="1" applyAlignment="1">
      <alignment horizontal="right" vertical="center"/>
    </xf>
    <xf numFmtId="43" fontId="2" fillId="0" borderId="0" xfId="0" applyNumberFormat="1" applyFont="1" applyFill="1" applyBorder="1" applyAlignment="1">
      <alignment vertical="center"/>
    </xf>
    <xf numFmtId="0" fontId="2" fillId="0" borderId="2" xfId="0" applyFont="1" applyFill="1" applyBorder="1" applyAlignment="1">
      <alignment horizontal="center" vertical="center"/>
    </xf>
    <xf numFmtId="176" fontId="2" fillId="0" borderId="3" xfId="0" applyNumberFormat="1" applyFont="1" applyFill="1" applyBorder="1" applyAlignment="1">
      <alignment horizontal="center" vertical="center"/>
    </xf>
    <xf numFmtId="43" fontId="2" fillId="0" borderId="2" xfId="1" applyNumberFormat="1" applyFont="1" applyFill="1" applyBorder="1" applyAlignment="1">
      <alignment horizontal="center" vertical="center"/>
    </xf>
    <xf numFmtId="43" fontId="2" fillId="0" borderId="4" xfId="1" applyNumberFormat="1" applyFont="1" applyFill="1" applyBorder="1" applyAlignment="1">
      <alignment horizontal="center" vertical="center"/>
    </xf>
    <xf numFmtId="43" fontId="2" fillId="0" borderId="5" xfId="1" applyNumberFormat="1" applyFont="1" applyFill="1" applyBorder="1" applyAlignment="1">
      <alignment horizontal="center" vertical="center"/>
    </xf>
    <xf numFmtId="43" fontId="2" fillId="0" borderId="6" xfId="1" applyNumberFormat="1" applyFont="1" applyFill="1" applyBorder="1" applyAlignment="1">
      <alignment horizontal="center" vertical="center"/>
    </xf>
    <xf numFmtId="0" fontId="2" fillId="0" borderId="7" xfId="0" applyFont="1" applyFill="1" applyBorder="1" applyAlignment="1">
      <alignment horizontal="center" vertical="center"/>
    </xf>
    <xf numFmtId="176" fontId="2" fillId="0" borderId="7" xfId="0" applyNumberFormat="1" applyFont="1" applyFill="1" applyBorder="1" applyAlignment="1">
      <alignment horizontal="center" vertical="center"/>
    </xf>
    <xf numFmtId="43" fontId="2" fillId="0" borderId="7" xfId="1" applyNumberFormat="1" applyFont="1" applyFill="1" applyBorder="1" applyAlignment="1">
      <alignment horizontal="center" vertical="center"/>
    </xf>
    <xf numFmtId="43" fontId="7" fillId="0" borderId="8" xfId="1" applyNumberFormat="1" applyFont="1" applyFill="1" applyBorder="1" applyAlignment="1">
      <alignment horizontal="center" vertical="center"/>
    </xf>
    <xf numFmtId="43" fontId="7" fillId="0" borderId="8" xfId="1" applyNumberFormat="1" applyFont="1" applyFill="1" applyBorder="1" applyAlignment="1">
      <alignment horizontal="center" vertical="center" wrapText="1"/>
    </xf>
    <xf numFmtId="0" fontId="8" fillId="0" borderId="2" xfId="0" applyFont="1" applyFill="1" applyBorder="1" applyAlignment="1">
      <alignment horizontal="center" vertical="center"/>
    </xf>
    <xf numFmtId="176" fontId="9" fillId="0" borderId="2" xfId="1" applyNumberFormat="1" applyFont="1" applyFill="1" applyBorder="1" applyAlignment="1">
      <alignment horizontal="center" vertical="center"/>
    </xf>
    <xf numFmtId="43" fontId="3" fillId="0" borderId="2" xfId="1" applyNumberFormat="1" applyFont="1" applyFill="1" applyBorder="1" applyAlignment="1">
      <alignment horizontal="center" vertical="center"/>
    </xf>
    <xf numFmtId="43" fontId="3" fillId="0" borderId="2" xfId="1" applyNumberFormat="1" applyFont="1" applyFill="1" applyBorder="1" applyAlignment="1">
      <alignment vertical="center"/>
    </xf>
    <xf numFmtId="43" fontId="3" fillId="0" borderId="9" xfId="1" applyNumberFormat="1" applyFont="1" applyFill="1" applyBorder="1" applyAlignment="1">
      <alignment vertical="center"/>
    </xf>
    <xf numFmtId="0" fontId="2" fillId="0" borderId="10" xfId="0" applyFont="1" applyFill="1" applyBorder="1" applyAlignment="1">
      <alignment horizontal="center" vertical="center"/>
    </xf>
    <xf numFmtId="0" fontId="8" fillId="0" borderId="10" xfId="0" applyFont="1" applyFill="1" applyBorder="1" applyAlignment="1">
      <alignment vertical="center"/>
    </xf>
    <xf numFmtId="176" fontId="9" fillId="0" borderId="10" xfId="1" applyNumberFormat="1" applyFont="1" applyFill="1" applyBorder="1" applyAlignment="1">
      <alignment horizontal="center" vertical="center"/>
    </xf>
    <xf numFmtId="43" fontId="3" fillId="0" borderId="10" xfId="1" applyNumberFormat="1" applyFont="1" applyFill="1" applyBorder="1" applyAlignment="1">
      <alignment horizontal="center" vertical="center"/>
    </xf>
    <xf numFmtId="43" fontId="3" fillId="0" borderId="10" xfId="1" applyNumberFormat="1" applyFont="1" applyFill="1" applyBorder="1" applyAlignment="1">
      <alignment vertical="center"/>
    </xf>
    <xf numFmtId="43" fontId="3" fillId="0" borderId="11" xfId="1" applyNumberFormat="1" applyFont="1" applyFill="1" applyBorder="1" applyAlignment="1">
      <alignment vertical="center"/>
    </xf>
    <xf numFmtId="0" fontId="6" fillId="0" borderId="10" xfId="0" applyFont="1" applyFill="1" applyBorder="1" applyAlignment="1">
      <alignment horizontal="left" vertical="center" wrapText="1"/>
    </xf>
    <xf numFmtId="0" fontId="6" fillId="0" borderId="12" xfId="0" applyFont="1" applyFill="1" applyBorder="1" applyAlignment="1">
      <alignment horizontal="left" vertical="center" wrapText="1"/>
    </xf>
    <xf numFmtId="0" fontId="10" fillId="0" borderId="0" xfId="0" applyFont="1">
      <alignment vertical="center"/>
    </xf>
    <xf numFmtId="0" fontId="7" fillId="0" borderId="13" xfId="0" applyFont="1" applyFill="1" applyBorder="1" applyAlignment="1">
      <alignment horizontal="left" vertical="center" wrapText="1"/>
    </xf>
    <xf numFmtId="176" fontId="10" fillId="0" borderId="0" xfId="0" applyNumberFormat="1" applyFont="1" applyAlignment="1">
      <alignment horizontal="center" vertical="center"/>
    </xf>
    <xf numFmtId="43" fontId="3" fillId="0" borderId="10" xfId="50" applyNumberFormat="1" applyFont="1" applyFill="1" applyBorder="1" applyAlignment="1" applyProtection="1">
      <alignment vertical="center" wrapText="1"/>
      <protection locked="0"/>
    </xf>
    <xf numFmtId="43" fontId="11" fillId="0" borderId="10" xfId="1" applyNumberFormat="1" applyFont="1" applyFill="1" applyBorder="1" applyAlignment="1">
      <alignment vertical="center"/>
    </xf>
    <xf numFmtId="43" fontId="3" fillId="0" borderId="11" xfId="50" applyNumberFormat="1" applyFont="1" applyFill="1" applyBorder="1" applyAlignment="1" applyProtection="1">
      <alignment vertical="center" wrapText="1"/>
      <protection locked="0"/>
    </xf>
    <xf numFmtId="0" fontId="2" fillId="0" borderId="12" xfId="0" applyFont="1" applyFill="1" applyBorder="1" applyAlignment="1">
      <alignment horizontal="left" vertical="center" wrapText="1"/>
    </xf>
    <xf numFmtId="43" fontId="3" fillId="0" borderId="10" xfId="1"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12" fillId="0" borderId="1" xfId="0" applyFont="1" applyFill="1" applyBorder="1" applyAlignment="1">
      <alignment horizontal="left" vertical="center" wrapText="1"/>
    </xf>
    <xf numFmtId="176" fontId="3" fillId="0" borderId="10" xfId="1" applyNumberFormat="1" applyFont="1" applyFill="1" applyBorder="1" applyAlignment="1">
      <alignment horizontal="center" vertical="center"/>
    </xf>
    <xf numFmtId="43" fontId="3" fillId="0" borderId="10" xfId="1" applyFont="1" applyFill="1" applyBorder="1" applyAlignment="1">
      <alignment horizontal="center" vertical="center"/>
    </xf>
    <xf numFmtId="0" fontId="12" fillId="0" borderId="14" xfId="0" applyFont="1" applyBorder="1" applyAlignment="1">
      <alignment horizontal="left" vertical="center" wrapText="1"/>
    </xf>
    <xf numFmtId="0" fontId="6" fillId="0" borderId="1" xfId="0" applyFont="1" applyFill="1" applyBorder="1" applyAlignment="1">
      <alignment horizontal="left" vertical="center" wrapText="1"/>
    </xf>
    <xf numFmtId="0" fontId="10" fillId="0" borderId="15" xfId="0" applyFont="1" applyBorder="1">
      <alignment vertical="center"/>
    </xf>
    <xf numFmtId="43" fontId="3" fillId="0" borderId="12" xfId="1" applyNumberFormat="1" applyFont="1" applyFill="1" applyBorder="1" applyAlignment="1">
      <alignment horizontal="center" vertical="center"/>
    </xf>
    <xf numFmtId="0" fontId="4" fillId="0" borderId="1" xfId="0" applyFont="1" applyFill="1" applyBorder="1" applyAlignment="1">
      <alignment horizontal="left" vertical="center" wrapText="1"/>
    </xf>
    <xf numFmtId="177" fontId="10" fillId="0" borderId="15" xfId="0" applyNumberFormat="1" applyFont="1" applyBorder="1" applyAlignment="1">
      <alignment horizontal="center" vertical="center"/>
    </xf>
    <xf numFmtId="177" fontId="13" fillId="0" borderId="15" xfId="0" applyNumberFormat="1" applyFont="1" applyBorder="1" applyAlignment="1">
      <alignment horizontal="center" vertical="center"/>
    </xf>
    <xf numFmtId="0" fontId="14" fillId="0" borderId="1" xfId="0" applyFont="1" applyFill="1" applyBorder="1" applyAlignment="1">
      <alignment horizontal="left" vertical="center" wrapText="1"/>
    </xf>
    <xf numFmtId="0" fontId="4" fillId="0" borderId="10" xfId="0" applyFont="1" applyFill="1" applyBorder="1" applyAlignment="1">
      <alignment horizontal="center" vertical="center"/>
    </xf>
    <xf numFmtId="0" fontId="15" fillId="0" borderId="12" xfId="0" applyFont="1" applyFill="1" applyBorder="1" applyAlignment="1">
      <alignment horizontal="left" vertical="center" wrapText="1"/>
    </xf>
    <xf numFmtId="0" fontId="13" fillId="0" borderId="0" xfId="0" applyFont="1">
      <alignment vertical="center"/>
    </xf>
    <xf numFmtId="43" fontId="11" fillId="0" borderId="10" xfId="1" applyNumberFormat="1" applyFont="1" applyFill="1" applyBorder="1" applyAlignment="1">
      <alignment horizontal="center" vertical="center"/>
    </xf>
    <xf numFmtId="43" fontId="11" fillId="0" borderId="11" xfId="1" applyNumberFormat="1" applyFont="1" applyFill="1" applyBorder="1" applyAlignment="1">
      <alignment vertical="center"/>
    </xf>
    <xf numFmtId="0" fontId="16" fillId="0" borderId="0" xfId="0" applyFont="1" applyFill="1">
      <alignment vertical="center"/>
    </xf>
    <xf numFmtId="0" fontId="15" fillId="0" borderId="10" xfId="0" applyFont="1" applyFill="1" applyBorder="1" applyAlignment="1">
      <alignment horizontal="left" vertical="center" wrapText="1"/>
    </xf>
    <xf numFmtId="0" fontId="13" fillId="0" borderId="12" xfId="0" applyFont="1" applyFill="1" applyBorder="1" applyAlignment="1">
      <alignment horizontal="left" vertical="center" wrapText="1"/>
    </xf>
    <xf numFmtId="177" fontId="13" fillId="0" borderId="0" xfId="0" applyNumberFormat="1" applyFont="1" applyAlignment="1">
      <alignment horizontal="center" vertical="center"/>
    </xf>
    <xf numFmtId="43" fontId="11" fillId="0" borderId="10" xfId="50" applyNumberFormat="1" applyFont="1" applyFill="1" applyBorder="1" applyAlignment="1" applyProtection="1">
      <alignment vertical="center" wrapText="1"/>
      <protection locked="0"/>
    </xf>
    <xf numFmtId="0" fontId="4" fillId="0" borderId="12" xfId="0" applyFont="1" applyFill="1" applyBorder="1" applyAlignment="1">
      <alignment horizontal="left" vertical="center" wrapText="1"/>
    </xf>
    <xf numFmtId="176" fontId="13" fillId="0" borderId="0" xfId="0" applyNumberFormat="1" applyFont="1" applyAlignment="1">
      <alignment horizontal="center" vertical="center"/>
    </xf>
    <xf numFmtId="43" fontId="11" fillId="0" borderId="11" xfId="50" applyNumberFormat="1" applyFont="1" applyFill="1" applyBorder="1" applyAlignment="1" applyProtection="1">
      <alignment vertical="center" wrapText="1"/>
      <protection locked="0"/>
    </xf>
    <xf numFmtId="0" fontId="17" fillId="0" borderId="10" xfId="0" applyFont="1" applyFill="1" applyBorder="1" applyAlignment="1">
      <alignment horizontal="left" vertical="center" wrapText="1"/>
    </xf>
    <xf numFmtId="176" fontId="18" fillId="0" borderId="10" xfId="0" applyNumberFormat="1" applyFont="1" applyFill="1" applyBorder="1" applyAlignment="1">
      <alignment horizontal="left" vertical="center" wrapText="1"/>
    </xf>
    <xf numFmtId="176" fontId="4" fillId="0" borderId="1" xfId="0" applyNumberFormat="1" applyFont="1" applyFill="1" applyBorder="1" applyAlignment="1">
      <alignment horizontal="left" vertical="center"/>
    </xf>
    <xf numFmtId="176" fontId="3" fillId="0" borderId="15" xfId="1" applyNumberFormat="1" applyFont="1" applyFill="1" applyBorder="1" applyAlignment="1">
      <alignment horizontal="center" vertical="center" wrapText="1"/>
    </xf>
    <xf numFmtId="176" fontId="11" fillId="0" borderId="12" xfId="0" applyNumberFormat="1" applyFont="1" applyFill="1" applyBorder="1" applyAlignment="1">
      <alignment horizontal="center" vertical="center"/>
    </xf>
    <xf numFmtId="0" fontId="2" fillId="0" borderId="16" xfId="0" applyFont="1" applyFill="1" applyBorder="1" applyAlignment="1">
      <alignment horizontal="center" vertical="center"/>
    </xf>
    <xf numFmtId="43" fontId="2" fillId="0" borderId="17" xfId="1" applyNumberFormat="1" applyFont="1" applyFill="1" applyBorder="1" applyAlignment="1">
      <alignment vertical="center"/>
    </xf>
    <xf numFmtId="176" fontId="3" fillId="0" borderId="17" xfId="1" applyNumberFormat="1" applyFont="1" applyFill="1" applyBorder="1" applyAlignment="1">
      <alignment horizontal="center" vertical="center"/>
    </xf>
    <xf numFmtId="43" fontId="3" fillId="0" borderId="17" xfId="1" applyNumberFormat="1" applyFont="1" applyFill="1" applyBorder="1" applyAlignment="1">
      <alignment horizontal="center" vertical="center"/>
    </xf>
    <xf numFmtId="43" fontId="3" fillId="0" borderId="17" xfId="1" applyNumberFormat="1" applyFont="1" applyFill="1" applyBorder="1" applyAlignment="1">
      <alignment vertical="center"/>
    </xf>
    <xf numFmtId="43" fontId="3" fillId="0" borderId="17" xfId="1" applyNumberFormat="1" applyFont="1" applyFill="1" applyBorder="1" applyAlignment="1">
      <alignment horizontal="right" vertical="center"/>
    </xf>
    <xf numFmtId="43" fontId="3" fillId="0" borderId="18" xfId="1" applyNumberFormat="1" applyFont="1" applyFill="1" applyBorder="1" applyAlignment="1">
      <alignment vertical="center"/>
    </xf>
    <xf numFmtId="0" fontId="19" fillId="0" borderId="10" xfId="0" applyFont="1" applyFill="1" applyBorder="1" applyAlignment="1">
      <alignment vertical="center"/>
    </xf>
    <xf numFmtId="0" fontId="7" fillId="0" borderId="7" xfId="0" applyFont="1" applyFill="1" applyBorder="1" applyAlignment="1">
      <alignment horizontal="left" vertical="center" wrapText="1"/>
    </xf>
    <xf numFmtId="176" fontId="9" fillId="0" borderId="7" xfId="1" applyNumberFormat="1" applyFont="1" applyFill="1" applyBorder="1" applyAlignment="1">
      <alignment horizontal="center" vertical="center"/>
    </xf>
    <xf numFmtId="43" fontId="3" fillId="0" borderId="7" xfId="1" applyNumberFormat="1" applyFont="1" applyFill="1" applyBorder="1" applyAlignment="1">
      <alignment horizontal="center" vertical="center"/>
    </xf>
    <xf numFmtId="43" fontId="3" fillId="0" borderId="7" xfId="1" applyNumberFormat="1" applyFont="1" applyFill="1" applyBorder="1" applyAlignment="1">
      <alignment vertical="center"/>
    </xf>
    <xf numFmtId="0" fontId="2" fillId="0" borderId="14" xfId="0" applyFont="1" applyFill="1" applyBorder="1" applyAlignment="1">
      <alignment horizontal="center" vertical="center"/>
    </xf>
    <xf numFmtId="43" fontId="2" fillId="0" borderId="0" xfId="1" applyNumberFormat="1" applyFont="1" applyFill="1" applyBorder="1" applyAlignment="1">
      <alignment vertical="center"/>
    </xf>
    <xf numFmtId="176" fontId="3" fillId="0" borderId="0" xfId="1" applyNumberFormat="1" applyFont="1" applyFill="1" applyBorder="1" applyAlignment="1">
      <alignment horizontal="center" vertical="center"/>
    </xf>
    <xf numFmtId="43" fontId="3" fillId="0" borderId="0" xfId="1" applyNumberFormat="1" applyFont="1" applyFill="1" applyBorder="1" applyAlignment="1">
      <alignment horizontal="center" vertical="center"/>
    </xf>
    <xf numFmtId="43" fontId="3" fillId="0" borderId="0" xfId="1" applyNumberFormat="1" applyFont="1" applyFill="1" applyBorder="1" applyAlignment="1">
      <alignment vertical="center"/>
    </xf>
    <xf numFmtId="43" fontId="3" fillId="0" borderId="0" xfId="1" applyNumberFormat="1" applyFont="1" applyFill="1" applyBorder="1" applyAlignment="1">
      <alignment horizontal="right" vertical="center"/>
    </xf>
    <xf numFmtId="0" fontId="6" fillId="0" borderId="2" xfId="0" applyFont="1" applyFill="1" applyBorder="1" applyAlignment="1">
      <alignment horizontal="left" vertical="center"/>
    </xf>
    <xf numFmtId="176" fontId="3" fillId="0" borderId="2" xfId="0" applyNumberFormat="1" applyFont="1" applyFill="1" applyBorder="1" applyAlignment="1">
      <alignment horizontal="center" vertical="center"/>
    </xf>
    <xf numFmtId="43" fontId="3" fillId="0" borderId="2" xfId="52" applyNumberFormat="1" applyFont="1" applyFill="1" applyBorder="1" applyAlignment="1">
      <alignment horizontal="center" vertical="center"/>
    </xf>
    <xf numFmtId="43" fontId="3" fillId="0" borderId="2" xfId="52" applyNumberFormat="1" applyFont="1" applyFill="1" applyBorder="1" applyAlignment="1">
      <alignment vertical="center"/>
    </xf>
    <xf numFmtId="0" fontId="0" fillId="0" borderId="0" xfId="0" applyFont="1" applyFill="1" applyBorder="1">
      <alignment vertical="center"/>
    </xf>
    <xf numFmtId="0" fontId="6" fillId="0" borderId="10" xfId="0" applyFont="1" applyFill="1" applyBorder="1" applyAlignment="1">
      <alignment horizontal="left" vertical="center"/>
    </xf>
    <xf numFmtId="176" fontId="3" fillId="0" borderId="10" xfId="0" applyNumberFormat="1" applyFont="1" applyFill="1" applyBorder="1" applyAlignment="1">
      <alignment horizontal="center" vertical="center"/>
    </xf>
    <xf numFmtId="43" fontId="3" fillId="0" borderId="10" xfId="52" applyNumberFormat="1" applyFont="1" applyFill="1" applyBorder="1" applyAlignment="1">
      <alignment horizontal="center" vertical="center"/>
    </xf>
    <xf numFmtId="43" fontId="3" fillId="0" borderId="10" xfId="52" applyNumberFormat="1" applyFont="1" applyFill="1" applyBorder="1" applyAlignment="1">
      <alignment vertical="center"/>
    </xf>
    <xf numFmtId="176" fontId="9" fillId="0" borderId="10" xfId="0" applyNumberFormat="1" applyFont="1" applyFill="1" applyBorder="1" applyAlignment="1">
      <alignment horizontal="center" vertical="center"/>
    </xf>
    <xf numFmtId="0" fontId="9" fillId="0" borderId="10" xfId="0" applyFont="1" applyFill="1" applyBorder="1" applyAlignment="1">
      <alignment horizontal="center" vertical="center"/>
    </xf>
    <xf numFmtId="43" fontId="9" fillId="0" borderId="10" xfId="0" applyNumberFormat="1" applyFont="1" applyFill="1" applyBorder="1" applyAlignment="1">
      <alignment vertical="center"/>
    </xf>
    <xf numFmtId="0" fontId="2" fillId="0" borderId="10" xfId="0" applyFont="1" applyFill="1" applyBorder="1" applyAlignment="1">
      <alignment vertical="center"/>
    </xf>
    <xf numFmtId="0" fontId="3" fillId="0" borderId="10" xfId="0" applyFont="1" applyFill="1" applyBorder="1" applyAlignment="1">
      <alignment horizontal="center" vertical="center"/>
    </xf>
    <xf numFmtId="43" fontId="3" fillId="0" borderId="10" xfId="0" applyNumberFormat="1" applyFont="1" applyFill="1" applyBorder="1" applyAlignment="1">
      <alignment vertical="center"/>
    </xf>
    <xf numFmtId="0" fontId="7" fillId="0" borderId="10" xfId="0" applyFont="1" applyFill="1" applyBorder="1" applyAlignment="1">
      <alignment horizontal="center" vertical="center"/>
    </xf>
    <xf numFmtId="0" fontId="10" fillId="0" borderId="10" xfId="0" applyFont="1" applyFill="1" applyBorder="1" applyAlignment="1">
      <alignment vertical="center"/>
    </xf>
    <xf numFmtId="176" fontId="2" fillId="0" borderId="10" xfId="0" applyNumberFormat="1" applyFont="1" applyFill="1" applyBorder="1" applyAlignment="1">
      <alignment horizontal="center" vertical="center"/>
    </xf>
    <xf numFmtId="43" fontId="2" fillId="0" borderId="10" xfId="52" applyNumberFormat="1" applyFont="1" applyFill="1" applyBorder="1" applyAlignment="1">
      <alignment horizontal="center" vertical="center"/>
    </xf>
    <xf numFmtId="43" fontId="2" fillId="0" borderId="10" xfId="1" applyNumberFormat="1" applyFont="1" applyFill="1" applyBorder="1" applyAlignment="1">
      <alignment vertical="center"/>
    </xf>
    <xf numFmtId="43" fontId="2" fillId="0" borderId="10" xfId="52" applyNumberFormat="1" applyFont="1" applyFill="1" applyBorder="1" applyAlignment="1">
      <alignment vertical="center"/>
    </xf>
    <xf numFmtId="0" fontId="6" fillId="0" borderId="7" xfId="0" applyFont="1" applyFill="1" applyBorder="1" applyAlignment="1">
      <alignment horizontal="left" vertical="center"/>
    </xf>
    <xf numFmtId="43" fontId="2" fillId="0" borderId="7" xfId="52" applyNumberFormat="1" applyFont="1" applyFill="1" applyBorder="1" applyAlignment="1">
      <alignment horizontal="center" vertical="center"/>
    </xf>
    <xf numFmtId="43" fontId="2" fillId="0" borderId="7" xfId="1" applyNumberFormat="1" applyFont="1" applyFill="1" applyBorder="1" applyAlignment="1">
      <alignment vertical="center"/>
    </xf>
    <xf numFmtId="43" fontId="2" fillId="0" borderId="7" xfId="52" applyNumberFormat="1" applyFont="1" applyFill="1" applyBorder="1" applyAlignment="1">
      <alignment vertical="center"/>
    </xf>
    <xf numFmtId="0" fontId="2" fillId="0" borderId="8" xfId="0" applyFont="1" applyFill="1" applyBorder="1" applyAlignment="1">
      <alignment horizontal="center" vertical="center"/>
    </xf>
    <xf numFmtId="43" fontId="2" fillId="0" borderId="8" xfId="1" applyNumberFormat="1" applyFont="1" applyFill="1" applyBorder="1" applyAlignment="1">
      <alignment horizontal="right" vertical="center"/>
    </xf>
    <xf numFmtId="176" fontId="2" fillId="0" borderId="8" xfId="1" applyNumberFormat="1" applyFont="1" applyFill="1" applyBorder="1" applyAlignment="1">
      <alignment horizontal="center" vertical="center" wrapText="1"/>
    </xf>
    <xf numFmtId="43" fontId="2" fillId="0" borderId="8" xfId="1" applyNumberFormat="1" applyFont="1" applyFill="1" applyBorder="1" applyAlignment="1">
      <alignment horizontal="center" vertical="center"/>
    </xf>
    <xf numFmtId="43" fontId="3" fillId="0" borderId="8" xfId="1" applyNumberFormat="1" applyFont="1" applyFill="1" applyBorder="1" applyAlignment="1">
      <alignment vertical="center"/>
    </xf>
    <xf numFmtId="43" fontId="10" fillId="0" borderId="0" xfId="1" applyNumberFormat="1" applyFont="1" applyFill="1" applyAlignment="1">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Normal" xfId="50"/>
    <cellStyle name="常规 3 2" xfId="51"/>
    <cellStyle name="千位分隔 3 2"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Hp-server\I\CHINA\616\BQ-MEA\MC\HOUSE\REIN_H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2842;&#22825;&#35760;&#24405;\wx\xwechat_files\wxid_xjiasr6ou0tx22_4c2f\msg\file\2026-10\V8.0&#12304;&#31354;&#30333;&#28165;&#21333;&#12305;&#28145;&#22323;&#22823;&#24067;&#22836;04&#22320;&#22359;&#22303;&#24314;&#24635;&#25215;&#21253;&#24037;&#31243;&#24037;&#31243;&#37327;&#25307;&#26631;&#28165;&#21333;1010.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常用项目"/>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1 开办费汇总"/>
      <sheetName val="编制说明"/>
      <sheetName val="应供量清单"/>
      <sheetName val="資料庫"/>
      <sheetName val="Sheet4"/>
      <sheetName val="#REF!"/>
      <sheetName val="合格证 (2)"/>
      <sheetName val="明細表"/>
      <sheetName val="21"/>
      <sheetName val="BQ2-住宅部分"/>
      <sheetName val="BQ2-商业街部分"/>
      <sheetName val="POWER ASSUMPTIONS"/>
      <sheetName val="3"/>
      <sheetName val="8"/>
      <sheetName val="预算200326"/>
      <sheetName val="Wl. Fin."/>
      <sheetName val="型材表"/>
      <sheetName val="材料单价表"/>
      <sheetName val="汇总表"/>
      <sheetName val="配置表"/>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BQ2.10"/>
      <sheetName val="中海城三期（01A及01E小学）"/>
      <sheetName val="中海城四期（02C）"/>
      <sheetName val="Toolbox"/>
      <sheetName val="主要项目单价分析表 "/>
      <sheetName val="电线"/>
      <sheetName val="电缆"/>
      <sheetName val="GS"/>
      <sheetName val="磨具余料庫"/>
      <sheetName val="XLR_NoRangeSheet"/>
      <sheetName val="Open"/>
      <sheetName val="eqpmad2"/>
      <sheetName val="Financ. Overview"/>
      <sheetName val="Main"/>
      <sheetName val="地连墙"/>
      <sheetName val="7"/>
      <sheetName val="投标材料清单 "/>
      <sheetName val="面积表"/>
      <sheetName val="二号清单"/>
      <sheetName val="일반공사"/>
      <sheetName val="2012-9科目余额表 (6)"/>
      <sheetName val="科目余额表 (5)"/>
      <sheetName val="工料测量师报告"/>
      <sheetName val="7.1APP3"/>
      <sheetName val="1"/>
      <sheetName val="G2TempSheet"/>
      <sheetName val="2.1设计部"/>
      <sheetName val="BQ3-1"/>
      <sheetName val="BQ5.3-1"/>
      <sheetName val="工程量"/>
      <sheetName val="清单"/>
      <sheetName val="1."/>
      <sheetName val="内围地梁钢筋说明"/>
      <sheetName val="BQ4.1.1至4.1.4"/>
      <sheetName val="4、综合单价分析表"/>
      <sheetName val="材料价格"/>
      <sheetName val="工程量A"/>
      <sheetName val="单价报价明细表"/>
      <sheetName val="报价明细表"/>
      <sheetName val="单位"/>
      <sheetName val="SW-TEO"/>
      <sheetName val="G1102地块一区（省一建） "/>
      <sheetName val="S1单价表"/>
      <sheetName val="2"/>
      <sheetName val="6"/>
      <sheetName val="面积合计（藏）"/>
      <sheetName val="4"/>
      <sheetName val="5"/>
      <sheetName val="计算表"/>
      <sheetName val="03定额库"/>
      <sheetName val="94定额库"/>
      <sheetName val="封面"/>
      <sheetName val="清单库"/>
      <sheetName val="银行账户"/>
      <sheetName val="电视监控"/>
      <sheetName val="材料"/>
      <sheetName val="月报表"/>
      <sheetName val="Hic_150EOffice"/>
      <sheetName val="单价分析表格式"/>
      <sheetName val="1#"/>
      <sheetName val="雨棚"/>
      <sheetName val="一层·C区"/>
      <sheetName val="单位库"/>
      <sheetName val="B1-1清单外装修"/>
      <sheetName val="开办费"/>
      <sheetName val="BQ2.1~基础工程及土方工程清单"/>
      <sheetName val="BQ2.2~GDG9#网点土方清单"/>
      <sheetName val="BQ3.1.1~地下室1土建清单"/>
      <sheetName val="BQ3.1.2~地下室1机电清单"/>
      <sheetName val="BQ4.1.1~GDG9#土建清单"/>
      <sheetName val="BQ4.1.2~GDG9#机电清单"/>
      <sheetName val="BQ5.1.1~GD6#土建清单"/>
      <sheetName val="BQ5.1.2~GD6#机电清单"/>
      <sheetName val="BQ5.2.1~GD7+GDG8#土建清单"/>
      <sheetName val="BQ5.2.2~GD7+GDG8#机电清单"/>
      <sheetName val="BQ5.3.1~GD8+GDG10#土建清单"/>
      <sheetName val="BQ5.3.2~GD8+GDG10#机电清单"/>
      <sheetName val="BQ5.4.1~GD9#土建清单 "/>
      <sheetName val="BQ5.4.2~GD9#机电清单"/>
      <sheetName val="CD"/>
      <sheetName val="XL4Poppy"/>
      <sheetName val="Mp-team 1"/>
      <sheetName val="00000ppy"/>
      <sheetName val="土建地上商业部分"/>
      <sheetName val="柱"/>
      <sheetName val="费率表"/>
      <sheetName val="A"/>
      <sheetName val="单价表"/>
      <sheetName val="投标价目总计"/>
      <sheetName val="计算稿-3#楼"/>
      <sheetName val="机房工程B"/>
      <sheetName val="貨品科目"/>
      <sheetName val="14.桥架"/>
      <sheetName val="Data"/>
      <sheetName val="T(B)Summary"/>
      <sheetName val="EXRATE"/>
      <sheetName val="BQ"/>
      <sheetName val="MOTOR"/>
      <sheetName val="S"/>
      <sheetName val="ID"/>
      <sheetName val="M&amp;E"/>
      <sheetName val="FS"/>
      <sheetName val="M-Par"/>
      <sheetName val="Col"/>
      <sheetName val="Wall(int)"/>
      <sheetName val="Wall(ext) "/>
      <sheetName val="Reinf"/>
      <sheetName val="Summary of Cost"/>
      <sheetName val="材料表"/>
      <sheetName val="G单价分析"/>
      <sheetName val="H单价分析"/>
      <sheetName val="N单价分析 "/>
      <sheetName val="C单价分析 "/>
      <sheetName val="一层电梯厅单价分析"/>
      <sheetName val="二层电梯厅单价分析"/>
      <sheetName val="参数"/>
      <sheetName val="Data Sheet"/>
      <sheetName val="A3地块围护结构"/>
      <sheetName val="sn"/>
      <sheetName val="Setting"/>
      <sheetName val="总量统计"/>
      <sheetName val="RA-markate"/>
      <sheetName val="10"/>
      <sheetName val="节点（12-2立面）"/>
      <sheetName val="附件二"/>
      <sheetName val="dw list"/>
      <sheetName val="A翼写字楼"/>
      <sheetName val="S-Hotel"/>
      <sheetName val="下拉菜单"/>
      <sheetName val="第一部分定价"/>
      <sheetName val="Combo"/>
      <sheetName val="基本资料"/>
      <sheetName val="清单汇总"/>
      <sheetName val="KDB"/>
      <sheetName val="取费系数"/>
      <sheetName val="SR6SUM"/>
      <sheetName val="92#"/>
      <sheetName val="基 础"/>
      <sheetName val="数据"/>
      <sheetName val="三号清单之电气工程综合单价分析"/>
      <sheetName val="三号清单之给排水工程综合单价分析"/>
      <sheetName val="before"/>
      <sheetName val="Bill-2.1（1）"/>
      <sheetName val="rebrand"/>
      <sheetName val="企业格式单价分析表"/>
      <sheetName val="JOA首頁"/>
      <sheetName val="第二章 - 可视对讲系统"/>
      <sheetName val="改加胶玻璃、室外栏杆"/>
      <sheetName val="建筑面积 "/>
      <sheetName val="Fly Sheets"/>
      <sheetName val="目录"/>
      <sheetName val="Sheet1 (11)"/>
      <sheetName val="总价"/>
      <sheetName val="Fee Rate Summary"/>
      <sheetName val="一层板"/>
      <sheetName val="底板梁"/>
      <sheetName val="土建工程综合单价表"/>
      <sheetName val="土建工程综合单价组价明细表"/>
      <sheetName val="电气设置"/>
      <sheetName val="电气计算"/>
      <sheetName val="D0026B3"/>
      <sheetName val="设计部"/>
      <sheetName val="推拉"/>
      <sheetName val="G.1R-Shou COP Gf"/>
      <sheetName val="报价细目表"/>
      <sheetName val="工程材料"/>
      <sheetName val="G2C2"/>
      <sheetName val="塔楼主体"/>
      <sheetName val="MC"/>
      <sheetName val="7#强电"/>
      <sheetName val="工程计算书"/>
      <sheetName val="ben"/>
      <sheetName val="材料名称标准表"/>
      <sheetName val="KKKKKKKK"/>
      <sheetName val="index"/>
      <sheetName val="附表02.管材管件"/>
      <sheetName val="点表"/>
      <sheetName val="五金（华建+坚朗）"/>
      <sheetName val="材料表-王瑜"/>
      <sheetName val="P1012001"/>
      <sheetName val="Aging Datasheet"/>
      <sheetName val="ECCS_1 DataSheet"/>
      <sheetName val="KPI Datasheet"/>
      <sheetName val="架空层绿化回填土计算表"/>
      <sheetName val="架空层消防路回填土计算表"/>
      <sheetName val="开办费项目"/>
      <sheetName val="单价分析过程"/>
      <sheetName val="主要材料价格表 (2)"/>
      <sheetName val="定额"/>
      <sheetName val="配合比"/>
      <sheetName val="封"/>
      <sheetName val="做法表"/>
      <sheetName val="模板参数"/>
      <sheetName val="送电装材统计"/>
      <sheetName val="T1T2T3T4门窗表"/>
      <sheetName val="墙面工程"/>
      <sheetName val="工程量计算"/>
      <sheetName val="基础项目"/>
      <sheetName val="Estimate Details"/>
      <sheetName val="材料库"/>
      <sheetName val="室内汇总"/>
      <sheetName val="工程量清单计价表-塔楼-03"/>
      <sheetName val="资料库"/>
      <sheetName val="名称"/>
      <sheetName val="PUR资料库"/>
      <sheetName val="表3"/>
      <sheetName val="工程清单"/>
      <sheetName val="主材表"/>
      <sheetName val="材料损耗(不打印)"/>
      <sheetName val="汇总"/>
      <sheetName val="门窗表"/>
      <sheetName val="301-6"/>
      <sheetName val="总措施项目"/>
      <sheetName val="基本参数表"/>
      <sheetName val="一号清单－措施费（高层+叠拼+地下室）"/>
      <sheetName val="二号清单—协调服务费"/>
      <sheetName val="ANL"/>
      <sheetName val="计算表2"/>
      <sheetName val="按新系统"/>
      <sheetName val="1#量统计"/>
      <sheetName val="1-2A"/>
      <sheetName val="BQ2"/>
      <sheetName val="单价分析表"/>
      <sheetName val="分部分项清单(模板)"/>
      <sheetName val="15-1-A户型"/>
      <sheetName val="材料汇总"/>
      <sheetName val="BQ9 地下室（城市广场）(2)"/>
      <sheetName val="sheet2"/>
      <sheetName val="土建直接费"/>
      <sheetName val="给排水工程综合单价分析"/>
      <sheetName val="弱电"/>
      <sheetName val="甲"/>
      <sheetName val="甲指乙供材料报价表"/>
      <sheetName val="8、主材品牌表 "/>
      <sheetName val="Contents"/>
      <sheetName val="成本多栏明细账"/>
      <sheetName val="電気設備表"/>
      <sheetName val="含量"/>
      <sheetName val="销售"/>
      <sheetName val="CFA"/>
      <sheetName val=""/>
      <sheetName val="3.1"/>
      <sheetName val="C"/>
      <sheetName val="Bill 5 - Carpark"/>
      <sheetName val="10.Linkway"/>
      <sheetName val="11.Bus Shelter-Bay"/>
      <sheetName val="KG-LS"/>
      <sheetName val="地梁"/>
      <sheetName val="成本预测"/>
      <sheetName val="125户型样板房"/>
      <sheetName val="基础工程量估算"/>
      <sheetName val="e"/>
      <sheetName val="@cover"/>
      <sheetName val="成本结转表"/>
      <sheetName val="单价分析"/>
      <sheetName val="措施费测算"/>
      <sheetName val="承台(砖模) "/>
      <sheetName val="dm"/>
      <sheetName val="Sum"/>
      <sheetName val="辅助表"/>
      <sheetName val="Summary T(A)"/>
      <sheetName val="eva"/>
      <sheetName val="乙供材料设备表"/>
      <sheetName val="铝合金门窗类型分析报价表"/>
      <sheetName val="BQ2.2"/>
      <sheetName val="BQ2.1"/>
      <sheetName val="电气工程综合单价分析"/>
      <sheetName val="2.1收益测算及指标(均摊)"/>
      <sheetName val="Arch"/>
      <sheetName val="开发成本(PUD)"/>
      <sheetName val="开发产品变动表(Compelted units)"/>
      <sheetName val="JCT80"/>
      <sheetName val="2008实际(每月)"/>
      <sheetName val="2008实际(截至)"/>
      <sheetName val="2008予算(每月)"/>
      <sheetName val="2008予算(截至)"/>
      <sheetName val="目錄"/>
      <sheetName val="SkLabVariable"/>
      <sheetName val="11"/>
      <sheetName val="Pick List"/>
      <sheetName val="系数516"/>
      <sheetName val="Content"/>
      <sheetName val="gsde06"/>
      <sheetName val="Ref"/>
      <sheetName val="CHECKLIST"/>
      <sheetName val="WP-Matrix"/>
      <sheetName val="REIN_HSE"/>
      <sheetName val="安装综合单价分析表"/>
      <sheetName val="slipsumpR"/>
      <sheetName val="Bill 3"/>
      <sheetName val="招标补充说明2017.6.3"/>
      <sheetName val="uint"/>
      <sheetName val="单价"/>
      <sheetName val="快速代码 "/>
      <sheetName val="Criteria"/>
      <sheetName val="柱计算"/>
      <sheetName val="裙房"/>
      <sheetName val="明细表"/>
      <sheetName val="材料单价"/>
      <sheetName val="含量 "/>
      <sheetName val="Basis"/>
      <sheetName val="一次汇总"/>
      <sheetName val="成本汇总"/>
      <sheetName val="综合单价分析表-详细"/>
      <sheetName val="工程量计算式"/>
      <sheetName val="2号-土建"/>
      <sheetName val="5201.2004"/>
      <sheetName val="Cost Plan -2"/>
      <sheetName val="1.投标总价排名对比表"/>
      <sheetName val="工程量分析表"/>
      <sheetName val="Validation source"/>
      <sheetName val="零星钢筋工程"/>
      <sheetName val="防水工程"/>
      <sheetName val="找平及抹灰"/>
      <sheetName val="砌体、抹灰工程"/>
      <sheetName val="_______"/>
      <sheetName val="核算项目余额表"/>
      <sheetName val="土方"/>
      <sheetName val="铁塔材料明细"/>
      <sheetName val="混凝土杆材料"/>
      <sheetName val="单位工程2"/>
      <sheetName val="土石方计算(2)"/>
      <sheetName val="数据汇总"/>
      <sheetName val="计算稿 (3)"/>
      <sheetName val="6号地给排水"/>
      <sheetName val="建築面積"/>
      <sheetName val="给排水工程清单项目库"/>
      <sheetName val="零料缴库"/>
      <sheetName val="A1、A2栏杆和百叶清单 "/>
      <sheetName val="A1、A2单价分析表"/>
      <sheetName val="A1门窗清单"/>
      <sheetName val="A20单价分析表"/>
      <sheetName val="A20栋清单"/>
      <sheetName val="A21、A22单价分析表"/>
      <sheetName val="A21、22栋清单"/>
      <sheetName val="A3-4单价分析表"/>
      <sheetName val="A3门窗清单"/>
      <sheetName val="A4门窗清单"/>
      <sheetName val="B1、B2、B4-B7栋清单"/>
      <sheetName val="B1、B2、B4-B7单价分析表"/>
      <sheetName val="B1幕墙价分析表"/>
      <sheetName val="B1幕墙"/>
      <sheetName val="B2幕墙价分析表"/>
      <sheetName val="B2幕墙"/>
      <sheetName val="B3单价分析表"/>
      <sheetName val="B3幕墙价分析表"/>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售楼部单价分析表"/>
      <sheetName val="售楼部"/>
      <sheetName val="小学单价分析表"/>
      <sheetName val="小学"/>
      <sheetName val="幼儿园单价分析表"/>
      <sheetName val="幼儿园"/>
      <sheetName val="变量单"/>
      <sheetName val="主材价格"/>
      <sheetName val="设计指标"/>
      <sheetName val="钢筋型号表"/>
      <sheetName val="1S"/>
      <sheetName val="2S"/>
      <sheetName val="3.1S"/>
      <sheetName val="3.2"/>
      <sheetName val="3.2S"/>
      <sheetName val="3.3"/>
      <sheetName val="3.3S"/>
      <sheetName val="3.4"/>
      <sheetName val="3.4S"/>
      <sheetName val="3.5"/>
      <sheetName val="3.5S"/>
      <sheetName val="3.6"/>
      <sheetName val="3.6S"/>
      <sheetName val="3S"/>
      <sheetName val="8S"/>
      <sheetName val="장비당단가 (1)"/>
      <sheetName val="装修材料费"/>
      <sheetName val="预算"/>
      <sheetName val="投保项目"/>
      <sheetName val="问题"/>
      <sheetName val="9#楼大堂（装饰）"/>
      <sheetName val="施工参考单价报价表"/>
      <sheetName val="其它工作项目报价清单"/>
      <sheetName val="使用说明"/>
      <sheetName val="梁"/>
      <sheetName val="报价单"/>
      <sheetName val="多媒体查询"/>
      <sheetName val="中心机房"/>
      <sheetName val="会议"/>
      <sheetName val="停车场"/>
      <sheetName val="BA"/>
      <sheetName val="物业"/>
      <sheetName val="移动通信"/>
      <sheetName val="防雷接地"/>
      <sheetName val="财务费用"/>
      <sheetName val="收入与成本"/>
      <sheetName val="销售比率"/>
      <sheetName val="PILE_CAP"/>
      <sheetName val="1#非桩基础_"/>
      <sheetName val="塔楼给排水清单_"/>
      <sheetName val="18#裙楼土建_"/>
      <sheetName val="18#非桩基础_"/>
      <sheetName val="1_开办费汇总"/>
      <sheetName val="合格证_(2)"/>
      <sheetName val="POWER_ASSUMPTIONS"/>
      <sheetName val="Wl__Fin_"/>
      <sheetName val="BQ2_10"/>
      <sheetName val="D1#地库汇总BQ3_1-SUM"/>
      <sheetName val="A6#小高层地上汇总BQ5_1-SUM"/>
      <sheetName val="A7#小高层地上汇总BQ6_1-SUM"/>
      <sheetName val="A11#高层地上汇总BQ7_1-SUM"/>
      <sheetName val="A12#小高层地上汇总BQ8_1-SUM"/>
      <sheetName val="A15#高层汇总BQ9_1-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Q3.1超高层"/>
      <sheetName val="BQ3.2配套"/>
      <sheetName val="BQ3.6风雨连廊"/>
      <sheetName val="BQ3.9换填及车道"/>
      <sheetName val="BQ4.2 配套"/>
      <sheetName val="BQ4.3超高层"/>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GR785"/>
  <sheetViews>
    <sheetView tabSelected="1" view="pageBreakPreview" zoomScale="85" zoomScaleNormal="100" workbookViewId="0">
      <pane xSplit="8" ySplit="7" topLeftCell="I8" activePane="bottomRight" state="frozen"/>
      <selection/>
      <selection pane="topRight"/>
      <selection pane="bottomLeft"/>
      <selection pane="bottomRight" activeCell="C18" sqref="C18"/>
    </sheetView>
  </sheetViews>
  <sheetFormatPr defaultColWidth="8.75" defaultRowHeight="14.25"/>
  <cols>
    <col min="1" max="1" width="7" style="7" customWidth="1"/>
    <col min="2" max="2" width="44.75" style="3" customWidth="1"/>
    <col min="3" max="3" width="14.25" style="8" customWidth="1"/>
    <col min="4" max="4" width="9.83333333333333" style="9" customWidth="1"/>
    <col min="5" max="5" width="11.5" style="10" customWidth="1"/>
    <col min="6" max="6" width="17.2" style="10" customWidth="1"/>
    <col min="7" max="7" width="11.5" style="10" customWidth="1"/>
    <col min="8" max="8" width="15.75" style="10" customWidth="1"/>
    <col min="9" max="104" width="8.75" style="3"/>
    <col min="105" max="16384" width="8.75" style="11"/>
  </cols>
  <sheetData>
    <row r="1" s="1" customFormat="1" ht="18" customHeight="1" spans="1:130">
      <c r="A1" s="12" t="e">
        <f>#REF!</f>
        <v>#REF!</v>
      </c>
      <c r="B1" s="13"/>
      <c r="C1" s="14"/>
      <c r="D1" s="13"/>
      <c r="E1" s="15"/>
      <c r="F1" s="15"/>
      <c r="G1" s="15"/>
      <c r="H1" s="16"/>
    </row>
    <row r="2" s="1" customFormat="1" ht="11.25" spans="1:130">
      <c r="A2" s="17"/>
      <c r="B2" s="13"/>
      <c r="C2" s="14"/>
      <c r="D2" s="13"/>
      <c r="E2" s="15"/>
      <c r="F2" s="15"/>
      <c r="G2" s="15"/>
      <c r="H2" s="16"/>
    </row>
    <row r="3" s="2" customFormat="1" ht="18" customHeight="1" spans="1:130">
      <c r="A3" s="12" t="e">
        <f>#REF!</f>
        <v>#REF!</v>
      </c>
      <c r="B3" s="13"/>
      <c r="C3" s="18"/>
      <c r="D3" s="13"/>
      <c r="E3" s="19"/>
      <c r="F3" s="19"/>
      <c r="G3" s="19"/>
      <c r="H3" s="20"/>
    </row>
    <row r="4" s="2" customFormat="1" ht="11.25" spans="1:130">
      <c r="A4" s="21"/>
      <c r="B4" s="13"/>
      <c r="C4" s="22"/>
      <c r="D4" s="13"/>
      <c r="E4" s="19"/>
      <c r="F4" s="19"/>
      <c r="G4" s="19"/>
      <c r="H4" s="20"/>
    </row>
    <row r="5" s="3" customFormat="1" ht="20" customHeight="1" spans="1:130">
      <c r="A5" s="23" t="s">
        <v>0</v>
      </c>
      <c r="B5" s="24"/>
      <c r="C5" s="8"/>
      <c r="D5" s="25"/>
      <c r="E5" s="26"/>
      <c r="F5" s="26"/>
      <c r="G5" s="26"/>
      <c r="H5" s="27"/>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row>
    <row r="6" s="3" customFormat="1" ht="27" customHeight="1" spans="1:130">
      <c r="A6" s="28" t="s">
        <v>1</v>
      </c>
      <c r="B6" s="28" t="s">
        <v>2</v>
      </c>
      <c r="C6" s="29" t="s">
        <v>3</v>
      </c>
      <c r="D6" s="30" t="s">
        <v>4</v>
      </c>
      <c r="E6" s="31" t="s">
        <v>5</v>
      </c>
      <c r="F6" s="32"/>
      <c r="G6" s="33"/>
      <c r="H6" s="30" t="s">
        <v>6</v>
      </c>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row>
    <row r="7" s="3" customFormat="1" ht="27" customHeight="1" spans="1:130">
      <c r="A7" s="34"/>
      <c r="B7" s="34"/>
      <c r="C7" s="35"/>
      <c r="D7" s="36"/>
      <c r="E7" s="37" t="s">
        <v>7</v>
      </c>
      <c r="F7" s="38" t="s">
        <v>8</v>
      </c>
      <c r="G7" s="37" t="s">
        <v>9</v>
      </c>
      <c r="H7" s="36"/>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row>
    <row r="8" s="3" customFormat="1" ht="29.25" customHeight="1" spans="1:130">
      <c r="A8" s="28"/>
      <c r="B8" s="39" t="s">
        <v>10</v>
      </c>
      <c r="C8" s="40"/>
      <c r="D8" s="41"/>
      <c r="E8" s="42"/>
      <c r="F8" s="42"/>
      <c r="G8" s="42"/>
      <c r="H8" s="43"/>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row>
    <row r="9" s="3" customFormat="1" ht="29.25" customHeight="1" spans="1:130">
      <c r="A9" s="44"/>
      <c r="B9" s="45" t="s">
        <v>11</v>
      </c>
      <c r="C9" s="46"/>
      <c r="D9" s="47"/>
      <c r="E9" s="48"/>
      <c r="F9" s="48"/>
      <c r="G9" s="48"/>
      <c r="H9" s="49"/>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row>
    <row r="10" s="3" customFormat="1" ht="29.25" customHeight="1" outlineLevel="1" spans="1:130">
      <c r="A10" s="44"/>
      <c r="B10" s="50" t="s">
        <v>12</v>
      </c>
      <c r="C10" s="46"/>
      <c r="D10" s="47"/>
      <c r="E10" s="48"/>
      <c r="F10" s="48"/>
      <c r="G10" s="48"/>
      <c r="H10" s="49"/>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row>
    <row r="11" s="3" customFormat="1" ht="40.5" customHeight="1" outlineLevel="1" spans="1:130">
      <c r="A11" s="44"/>
      <c r="B11" s="50" t="s">
        <v>13</v>
      </c>
      <c r="C11" s="46"/>
      <c r="D11" s="47"/>
      <c r="E11" s="48"/>
      <c r="F11" s="48"/>
      <c r="G11" s="48"/>
      <c r="H11" s="49"/>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row>
    <row r="12" s="3" customFormat="1" ht="40.5" customHeight="1" outlineLevel="1" spans="1:130">
      <c r="A12" s="44"/>
      <c r="B12" s="50" t="s">
        <v>14</v>
      </c>
      <c r="C12" s="46"/>
      <c r="D12" s="47"/>
      <c r="E12" s="48"/>
      <c r="F12" s="48"/>
      <c r="G12" s="48"/>
      <c r="H12" s="49"/>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row>
    <row r="13" s="3" customFormat="1" ht="29.25" customHeight="1" outlineLevel="1" spans="1:130">
      <c r="A13" s="44"/>
      <c r="B13" s="50" t="s">
        <v>15</v>
      </c>
      <c r="C13" s="46"/>
      <c r="D13" s="47"/>
      <c r="E13" s="48"/>
      <c r="F13" s="48"/>
      <c r="G13" s="48"/>
      <c r="H13" s="49"/>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row>
    <row r="14" s="3" customFormat="1" ht="40.5" customHeight="1" outlineLevel="1" spans="1:130">
      <c r="A14" s="44"/>
      <c r="B14" s="50" t="s">
        <v>16</v>
      </c>
      <c r="C14" s="46"/>
      <c r="D14" s="47"/>
      <c r="E14" s="48"/>
      <c r="F14" s="48"/>
      <c r="G14" s="48"/>
      <c r="H14" s="49"/>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row>
    <row r="15" s="3" customFormat="1" ht="40.5" customHeight="1" outlineLevel="1" spans="1:130">
      <c r="A15" s="44"/>
      <c r="B15" s="50" t="s">
        <v>17</v>
      </c>
      <c r="C15" s="46"/>
      <c r="D15" s="47"/>
      <c r="E15" s="48"/>
      <c r="F15" s="48"/>
      <c r="G15" s="48"/>
      <c r="H15" s="49"/>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row>
    <row r="16" s="3" customFormat="1" ht="53.25" customHeight="1" outlineLevel="1" spans="1:130">
      <c r="A16" s="44"/>
      <c r="B16" s="50" t="s">
        <v>18</v>
      </c>
      <c r="C16" s="46"/>
      <c r="D16" s="47"/>
      <c r="E16" s="48"/>
      <c r="F16" s="48"/>
      <c r="G16" s="48"/>
      <c r="H16" s="49"/>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row>
    <row r="17" s="3" customFormat="1" ht="29.25" customHeight="1" outlineLevel="1" spans="1:153">
      <c r="A17" s="44"/>
      <c r="B17" s="51" t="s">
        <v>19</v>
      </c>
      <c r="C17" s="52"/>
      <c r="D17" s="47"/>
      <c r="E17" s="48"/>
      <c r="F17" s="48"/>
      <c r="G17" s="48"/>
      <c r="H17" s="49"/>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row>
    <row r="18" s="3" customFormat="1" ht="29.25" customHeight="1" outlineLevel="1" spans="1:153">
      <c r="A18" s="44">
        <f>MAX($A$6:A17)+1</f>
        <v>1</v>
      </c>
      <c r="B18" s="53" t="s">
        <v>20</v>
      </c>
      <c r="C18" s="54"/>
      <c r="D18" s="47" t="s">
        <v>21</v>
      </c>
      <c r="E18" s="55"/>
      <c r="F18" s="55"/>
      <c r="G18" s="56"/>
      <c r="H18" s="57">
        <f>ROUND(C18*G18,2)</f>
        <v>0</v>
      </c>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row>
    <row r="19" s="3" customFormat="1" ht="29.25" customHeight="1" outlineLevel="1" spans="1:153">
      <c r="A19" s="44"/>
      <c r="B19" s="58"/>
      <c r="C19" s="52"/>
      <c r="D19" s="47"/>
      <c r="E19" s="55"/>
      <c r="F19" s="59"/>
      <c r="G19" s="55"/>
      <c r="H19" s="57"/>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row>
    <row r="20" s="4" customFormat="1" ht="22.5" customHeight="1" outlineLevel="1" spans="1:153">
      <c r="A20" s="60"/>
      <c r="B20" s="61" t="s">
        <v>22</v>
      </c>
      <c r="C20" s="62"/>
      <c r="D20" s="63"/>
      <c r="E20" s="48"/>
      <c r="F20" s="48"/>
      <c r="G20" s="48"/>
      <c r="H20" s="49"/>
    </row>
    <row r="21" s="4" customFormat="1" ht="81" customHeight="1" outlineLevel="1" spans="1:153">
      <c r="A21" s="60"/>
      <c r="B21" s="64" t="s">
        <v>23</v>
      </c>
      <c r="C21" s="62"/>
      <c r="D21" s="63"/>
      <c r="E21" s="48"/>
      <c r="F21" s="48"/>
      <c r="G21" s="48"/>
      <c r="H21" s="49"/>
    </row>
    <row r="22" s="4" customFormat="1" ht="51.75" customHeight="1" outlineLevel="1" spans="1:153">
      <c r="A22" s="60"/>
      <c r="B22" s="64" t="s">
        <v>24</v>
      </c>
      <c r="C22" s="62"/>
      <c r="D22" s="63"/>
      <c r="E22" s="48"/>
      <c r="F22" s="48"/>
      <c r="G22" s="48"/>
      <c r="H22" s="49"/>
    </row>
    <row r="23" s="4" customFormat="1" ht="81" customHeight="1" outlineLevel="1" spans="1:153">
      <c r="A23" s="60"/>
      <c r="B23" s="64" t="s">
        <v>25</v>
      </c>
      <c r="C23" s="62"/>
      <c r="D23" s="63"/>
      <c r="E23" s="48"/>
      <c r="F23" s="48"/>
      <c r="G23" s="48"/>
      <c r="H23" s="49"/>
    </row>
    <row r="24" s="4" customFormat="1" ht="57.75" customHeight="1" outlineLevel="1" spans="1:153">
      <c r="A24" s="60"/>
      <c r="B24" s="64" t="s">
        <v>26</v>
      </c>
      <c r="C24" s="62"/>
      <c r="D24" s="63"/>
      <c r="E24" s="48"/>
      <c r="F24" s="48"/>
      <c r="G24" s="48"/>
      <c r="H24" s="49"/>
    </row>
    <row r="25" s="4" customFormat="1" ht="81" customHeight="1" outlineLevel="1" spans="1:153">
      <c r="A25" s="60"/>
      <c r="B25" s="64" t="s">
        <v>27</v>
      </c>
      <c r="C25" s="62"/>
      <c r="D25" s="63"/>
      <c r="E25" s="48"/>
      <c r="F25" s="48"/>
      <c r="G25" s="48"/>
      <c r="H25" s="49"/>
    </row>
    <row r="26" s="4" customFormat="1" ht="81" customHeight="1" outlineLevel="1" spans="1:153">
      <c r="A26" s="60"/>
      <c r="B26" s="64" t="s">
        <v>28</v>
      </c>
      <c r="C26" s="62"/>
      <c r="D26" s="63"/>
      <c r="E26" s="48"/>
      <c r="F26" s="48"/>
      <c r="G26" s="48"/>
      <c r="H26" s="49"/>
    </row>
    <row r="27" s="4" customFormat="1" ht="48" customHeight="1" outlineLevel="1" spans="1:153">
      <c r="A27" s="60"/>
      <c r="B27" s="64" t="s">
        <v>29</v>
      </c>
      <c r="C27" s="62"/>
      <c r="D27" s="63"/>
      <c r="E27" s="48"/>
      <c r="F27" s="48"/>
      <c r="G27" s="48"/>
      <c r="H27" s="49"/>
    </row>
    <row r="28" s="4" customFormat="1" ht="81" customHeight="1" outlineLevel="1" spans="1:153">
      <c r="A28" s="60"/>
      <c r="B28" s="64" t="s">
        <v>30</v>
      </c>
      <c r="C28" s="62"/>
      <c r="D28" s="63"/>
      <c r="E28" s="48"/>
      <c r="F28" s="48"/>
      <c r="G28" s="48"/>
      <c r="H28" s="49"/>
    </row>
    <row r="29" s="3" customFormat="1" ht="40.5" customHeight="1" outlineLevel="1" spans="1:153">
      <c r="A29" s="44"/>
      <c r="B29" s="65" t="s">
        <v>31</v>
      </c>
      <c r="C29" s="66"/>
      <c r="D29" s="67"/>
      <c r="E29" s="48"/>
      <c r="F29" s="48"/>
      <c r="G29" s="48"/>
      <c r="H29" s="49"/>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row>
    <row r="30" s="3" customFormat="1" ht="29.25" customHeight="1" outlineLevel="1" spans="1:153">
      <c r="A30" s="44">
        <f>MAX($A$6:A29)+1</f>
        <v>2</v>
      </c>
      <c r="B30" s="68" t="s">
        <v>32</v>
      </c>
      <c r="C30" s="69"/>
      <c r="D30" s="67" t="s">
        <v>33</v>
      </c>
      <c r="E30" s="48"/>
      <c r="F30" s="48"/>
      <c r="G30" s="56"/>
      <c r="H30" s="57">
        <f>ROUND(C30*G30,2)</f>
        <v>0</v>
      </c>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row>
    <row r="31" s="3" customFormat="1" ht="29.25" customHeight="1" outlineLevel="1" spans="1:153">
      <c r="A31" s="44">
        <f>MAX($A$6:A30)+1</f>
        <v>3</v>
      </c>
      <c r="B31" s="68" t="s">
        <v>34</v>
      </c>
      <c r="C31" s="70"/>
      <c r="D31" s="67" t="s">
        <v>33</v>
      </c>
      <c r="E31" s="48"/>
      <c r="F31" s="48"/>
      <c r="G31" s="56"/>
      <c r="H31" s="57">
        <f>ROUND(C31*G31,2)</f>
        <v>0</v>
      </c>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row>
    <row r="32" s="3" customFormat="1" ht="29.25" customHeight="1" outlineLevel="1" spans="1:153">
      <c r="A32" s="44">
        <f>MAX($A$6:A31)+1</f>
        <v>4</v>
      </c>
      <c r="B32" s="68" t="s">
        <v>35</v>
      </c>
      <c r="C32" s="69"/>
      <c r="D32" s="67" t="s">
        <v>33</v>
      </c>
      <c r="E32" s="48"/>
      <c r="F32" s="48"/>
      <c r="G32" s="56"/>
      <c r="H32" s="57">
        <f>ROUND(C32*G32,2)</f>
        <v>0</v>
      </c>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row>
    <row r="33" s="3" customFormat="1" ht="29.25" customHeight="1" outlineLevel="1" spans="1:200">
      <c r="A33" s="44"/>
      <c r="B33" s="65" t="s">
        <v>36</v>
      </c>
      <c r="C33" s="66"/>
      <c r="D33" s="67"/>
      <c r="E33" s="48"/>
      <c r="F33" s="48"/>
      <c r="G33" s="48"/>
      <c r="H33" s="49"/>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row>
    <row r="34" s="3" customFormat="1" ht="29.25" customHeight="1" outlineLevel="1" spans="1:200">
      <c r="A34" s="44">
        <f>MAX($A$6:A33)+1</f>
        <v>5</v>
      </c>
      <c r="B34" s="68" t="s">
        <v>32</v>
      </c>
      <c r="C34" s="69"/>
      <c r="D34" s="67" t="s">
        <v>33</v>
      </c>
      <c r="E34" s="48"/>
      <c r="F34" s="48"/>
      <c r="G34" s="56"/>
      <c r="H34" s="57">
        <f>ROUND(C34*G34,2)</f>
        <v>0</v>
      </c>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row>
    <row r="35" s="3" customFormat="1" ht="29.25" customHeight="1" outlineLevel="1" spans="1:200">
      <c r="A35" s="44">
        <f>MAX($A$6:A34)+1</f>
        <v>6</v>
      </c>
      <c r="B35" s="68" t="s">
        <v>34</v>
      </c>
      <c r="C35" s="70"/>
      <c r="D35" s="67" t="s">
        <v>33</v>
      </c>
      <c r="E35" s="48"/>
      <c r="F35" s="48"/>
      <c r="G35" s="56"/>
      <c r="H35" s="57">
        <f>ROUND(C35*G35,2)</f>
        <v>0</v>
      </c>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row>
    <row r="36" s="3" customFormat="1" ht="29.25" customHeight="1" outlineLevel="1" spans="1:200">
      <c r="A36" s="44">
        <f>MAX($A$6:A35)+1</f>
        <v>7</v>
      </c>
      <c r="B36" s="68" t="s">
        <v>35</v>
      </c>
      <c r="C36" s="70"/>
      <c r="D36" s="67" t="s">
        <v>33</v>
      </c>
      <c r="E36" s="48"/>
      <c r="F36" s="48"/>
      <c r="G36" s="56"/>
      <c r="H36" s="57">
        <f>ROUND(C36*G36,2)</f>
        <v>0</v>
      </c>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row>
    <row r="37" s="3" customFormat="1" ht="29.25" customHeight="1" outlineLevel="1" spans="1:200">
      <c r="A37" s="44"/>
      <c r="B37" s="71" t="s">
        <v>37</v>
      </c>
      <c r="C37" s="70"/>
      <c r="D37" s="67"/>
      <c r="E37" s="48"/>
      <c r="F37" s="48"/>
      <c r="G37" s="48"/>
      <c r="H37" s="57"/>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row>
    <row r="38" s="5" customFormat="1" ht="29.25" customHeight="1" outlineLevel="1" spans="1:200">
      <c r="A38" s="72"/>
      <c r="B38" s="73" t="s">
        <v>38</v>
      </c>
      <c r="C38" s="74"/>
      <c r="D38" s="75"/>
      <c r="E38" s="56"/>
      <c r="F38" s="56"/>
      <c r="G38" s="56"/>
      <c r="H38" s="76"/>
      <c r="FS38" s="77"/>
      <c r="FT38" s="77"/>
      <c r="FU38" s="77"/>
      <c r="FV38" s="77"/>
      <c r="FW38" s="77"/>
      <c r="FX38" s="77"/>
      <c r="FY38" s="77"/>
      <c r="FZ38" s="77"/>
      <c r="GA38" s="77"/>
      <c r="GB38" s="77"/>
      <c r="GC38" s="77"/>
      <c r="GD38" s="77"/>
      <c r="GE38" s="77"/>
      <c r="GF38" s="77"/>
      <c r="GG38" s="77"/>
      <c r="GH38" s="77"/>
      <c r="GI38" s="77"/>
      <c r="GJ38" s="77"/>
      <c r="GK38" s="77"/>
      <c r="GL38" s="77"/>
      <c r="GM38" s="77"/>
      <c r="GN38" s="77"/>
      <c r="GO38" s="77"/>
      <c r="GP38" s="77"/>
      <c r="GQ38" s="77"/>
      <c r="GR38" s="77"/>
    </row>
    <row r="39" s="5" customFormat="1" ht="66" customHeight="1" outlineLevel="1" spans="1:200">
      <c r="A39" s="72"/>
      <c r="B39" s="78" t="s">
        <v>39</v>
      </c>
      <c r="C39" s="74"/>
      <c r="D39" s="75"/>
      <c r="E39" s="56"/>
      <c r="F39" s="56"/>
      <c r="G39" s="56"/>
      <c r="H39" s="76"/>
      <c r="FS39" s="77"/>
      <c r="FT39" s="77"/>
      <c r="FU39" s="77"/>
      <c r="FV39" s="77"/>
      <c r="FW39" s="77"/>
      <c r="FX39" s="77"/>
      <c r="FY39" s="77"/>
      <c r="FZ39" s="77"/>
      <c r="GA39" s="77"/>
      <c r="GB39" s="77"/>
      <c r="GC39" s="77"/>
      <c r="GD39" s="77"/>
      <c r="GE39" s="77"/>
      <c r="GF39" s="77"/>
      <c r="GG39" s="77"/>
      <c r="GH39" s="77"/>
      <c r="GI39" s="77"/>
      <c r="GJ39" s="77"/>
      <c r="GK39" s="77"/>
      <c r="GL39" s="77"/>
      <c r="GM39" s="77"/>
      <c r="GN39" s="77"/>
      <c r="GO39" s="77"/>
      <c r="GP39" s="77"/>
      <c r="GQ39" s="77"/>
      <c r="GR39" s="77"/>
    </row>
    <row r="40" s="5" customFormat="1" ht="101" customHeight="1" outlineLevel="1" spans="1:200">
      <c r="A40" s="72">
        <f>MAX($A$6:A39)+1</f>
        <v>8</v>
      </c>
      <c r="B40" s="79" t="s">
        <v>40</v>
      </c>
      <c r="C40" s="80"/>
      <c r="D40" s="75" t="s">
        <v>33</v>
      </c>
      <c r="E40" s="81"/>
      <c r="F40" s="81"/>
      <c r="G40" s="56"/>
      <c r="H40" s="57">
        <f>ROUND(C40*G40,2)</f>
        <v>0</v>
      </c>
      <c r="DA40" s="77"/>
      <c r="DB40" s="77"/>
      <c r="DC40" s="77"/>
      <c r="DD40" s="77"/>
      <c r="DE40" s="77"/>
      <c r="DF40" s="77"/>
      <c r="DG40" s="77"/>
      <c r="DH40" s="77"/>
      <c r="DI40" s="77"/>
      <c r="DJ40" s="77"/>
      <c r="DK40" s="77"/>
      <c r="DL40" s="77"/>
      <c r="DM40" s="77"/>
      <c r="DN40" s="77"/>
      <c r="DO40" s="77"/>
      <c r="DP40" s="77"/>
      <c r="DQ40" s="77"/>
      <c r="DR40" s="77"/>
      <c r="DS40" s="77"/>
      <c r="DT40" s="77"/>
      <c r="DU40" s="77"/>
      <c r="DV40" s="77"/>
      <c r="DW40" s="77"/>
      <c r="DX40" s="77"/>
      <c r="DY40" s="77"/>
      <c r="DZ40" s="77"/>
    </row>
    <row r="41" s="5" customFormat="1" ht="110" customHeight="1" outlineLevel="1" spans="1:200">
      <c r="A41" s="72">
        <f>MAX($A$6:A40)+1</f>
        <v>9</v>
      </c>
      <c r="B41" s="79" t="s">
        <v>41</v>
      </c>
      <c r="C41" s="80"/>
      <c r="D41" s="75" t="s">
        <v>33</v>
      </c>
      <c r="E41" s="81"/>
      <c r="F41" s="81"/>
      <c r="G41" s="56"/>
      <c r="H41" s="57">
        <f>ROUND(C41*G41,2)</f>
        <v>0</v>
      </c>
      <c r="DA41" s="77"/>
      <c r="DB41" s="77"/>
      <c r="DC41" s="77"/>
      <c r="DD41" s="77"/>
      <c r="DE41" s="77"/>
      <c r="DF41" s="77"/>
      <c r="DG41" s="77"/>
      <c r="DH41" s="77"/>
      <c r="DI41" s="77"/>
      <c r="DJ41" s="77"/>
      <c r="DK41" s="77"/>
      <c r="DL41" s="77"/>
      <c r="DM41" s="77"/>
      <c r="DN41" s="77"/>
      <c r="DO41" s="77"/>
      <c r="DP41" s="77"/>
      <c r="DQ41" s="77"/>
      <c r="DR41" s="77"/>
      <c r="DS41" s="77"/>
      <c r="DT41" s="77"/>
      <c r="DU41" s="77"/>
      <c r="DV41" s="77"/>
      <c r="DW41" s="77"/>
      <c r="DX41" s="77"/>
      <c r="DY41" s="77"/>
      <c r="DZ41" s="77"/>
    </row>
    <row r="42" s="5" customFormat="1" ht="39.75" customHeight="1" outlineLevel="1" spans="1:200">
      <c r="A42" s="72">
        <f>MAX($A$6:A41)+1</f>
        <v>10</v>
      </c>
      <c r="B42" s="79" t="s">
        <v>42</v>
      </c>
      <c r="C42" s="80"/>
      <c r="D42" s="75" t="s">
        <v>33</v>
      </c>
      <c r="E42" s="81"/>
      <c r="F42" s="81"/>
      <c r="G42" s="56"/>
      <c r="H42" s="57">
        <f>ROUND(C42*G42,2)</f>
        <v>0</v>
      </c>
      <c r="DA42" s="77"/>
      <c r="DB42" s="77"/>
      <c r="DC42" s="77"/>
      <c r="DD42" s="77"/>
      <c r="DE42" s="77"/>
      <c r="DF42" s="77"/>
      <c r="DG42" s="77"/>
      <c r="DH42" s="77"/>
      <c r="DI42" s="77"/>
      <c r="DJ42" s="77"/>
      <c r="DK42" s="77"/>
      <c r="DL42" s="77"/>
      <c r="DM42" s="77"/>
      <c r="DN42" s="77"/>
      <c r="DO42" s="77"/>
      <c r="DP42" s="77"/>
      <c r="DQ42" s="77"/>
      <c r="DR42" s="77"/>
      <c r="DS42" s="77"/>
      <c r="DT42" s="77"/>
      <c r="DU42" s="77"/>
      <c r="DV42" s="77"/>
      <c r="DW42" s="77"/>
      <c r="DX42" s="77"/>
      <c r="DY42" s="77"/>
      <c r="DZ42" s="77"/>
    </row>
    <row r="43" s="5" customFormat="1" ht="46" customHeight="1" outlineLevel="1" spans="1:200">
      <c r="A43" s="72">
        <f>MAX($A$6:A42)+1</f>
        <v>11</v>
      </c>
      <c r="B43" s="82" t="s">
        <v>43</v>
      </c>
      <c r="C43" s="83"/>
      <c r="D43" s="75" t="s">
        <v>44</v>
      </c>
      <c r="E43" s="81"/>
      <c r="F43" s="81"/>
      <c r="G43" s="56"/>
      <c r="H43" s="57">
        <f>ROUND(C43*G43,2)</f>
        <v>0</v>
      </c>
      <c r="DA43" s="77"/>
      <c r="DB43" s="77"/>
      <c r="DC43" s="77"/>
      <c r="DD43" s="77"/>
      <c r="DE43" s="77"/>
      <c r="DF43" s="77"/>
      <c r="DG43" s="77"/>
      <c r="DH43" s="77"/>
      <c r="DI43" s="77"/>
      <c r="DJ43" s="77"/>
      <c r="DK43" s="77"/>
      <c r="DL43" s="77"/>
      <c r="DM43" s="77"/>
      <c r="DN43" s="77"/>
      <c r="DO43" s="77"/>
      <c r="DP43" s="77"/>
      <c r="DQ43" s="77"/>
      <c r="DR43" s="77"/>
      <c r="DS43" s="77"/>
      <c r="DT43" s="77"/>
      <c r="DU43" s="77"/>
      <c r="DV43" s="77"/>
      <c r="DW43" s="77"/>
      <c r="DX43" s="77"/>
      <c r="DY43" s="77"/>
      <c r="DZ43" s="77"/>
    </row>
    <row r="44" s="5" customFormat="1" ht="46" customHeight="1" outlineLevel="1" spans="1:200">
      <c r="A44" s="72">
        <f>MAX($A$6:A43)+1</f>
        <v>12</v>
      </c>
      <c r="B44" s="82" t="s">
        <v>45</v>
      </c>
      <c r="C44" s="83"/>
      <c r="D44" s="75" t="s">
        <v>44</v>
      </c>
      <c r="E44" s="81"/>
      <c r="F44" s="81"/>
      <c r="G44" s="56"/>
      <c r="H44" s="57">
        <f>ROUND(C44*G44,2)</f>
        <v>0</v>
      </c>
      <c r="DA44" s="77"/>
      <c r="DB44" s="77"/>
      <c r="DC44" s="77"/>
      <c r="DD44" s="77"/>
      <c r="DE44" s="77"/>
      <c r="DF44" s="77"/>
      <c r="DG44" s="77"/>
      <c r="DH44" s="77"/>
      <c r="DI44" s="77"/>
      <c r="DJ44" s="77"/>
      <c r="DK44" s="77"/>
      <c r="DL44" s="77"/>
      <c r="DM44" s="77"/>
      <c r="DN44" s="77"/>
      <c r="DO44" s="77"/>
      <c r="DP44" s="77"/>
      <c r="DQ44" s="77"/>
      <c r="DR44" s="77"/>
      <c r="DS44" s="77"/>
      <c r="DT44" s="77"/>
      <c r="DU44" s="77"/>
      <c r="DV44" s="77"/>
      <c r="DW44" s="77"/>
      <c r="DX44" s="77"/>
      <c r="DY44" s="77"/>
      <c r="DZ44" s="77"/>
    </row>
    <row r="45" s="5" customFormat="1" ht="46" customHeight="1" outlineLevel="1" spans="1:200">
      <c r="A45" s="72">
        <f>MAX($A$6:A44)+1</f>
        <v>13</v>
      </c>
      <c r="B45" s="82" t="s">
        <v>45</v>
      </c>
      <c r="C45" s="83"/>
      <c r="D45" s="75" t="s">
        <v>44</v>
      </c>
      <c r="E45" s="81"/>
      <c r="F45" s="81"/>
      <c r="G45" s="56"/>
      <c r="H45" s="57">
        <f>ROUND(C45*G45,2)</f>
        <v>0</v>
      </c>
      <c r="DA45" s="77"/>
      <c r="DB45" s="77"/>
      <c r="DC45" s="77"/>
      <c r="DD45" s="77"/>
      <c r="DE45" s="77"/>
      <c r="DF45" s="77"/>
      <c r="DG45" s="77"/>
      <c r="DH45" s="77"/>
      <c r="DI45" s="77"/>
      <c r="DJ45" s="77"/>
      <c r="DK45" s="77"/>
      <c r="DL45" s="77"/>
      <c r="DM45" s="77"/>
      <c r="DN45" s="77"/>
      <c r="DO45" s="77"/>
      <c r="DP45" s="77"/>
      <c r="DQ45" s="77"/>
      <c r="DR45" s="77"/>
      <c r="DS45" s="77"/>
      <c r="DT45" s="77"/>
      <c r="DU45" s="77"/>
      <c r="DV45" s="77"/>
      <c r="DW45" s="77"/>
      <c r="DX45" s="77"/>
      <c r="DY45" s="77"/>
      <c r="DZ45" s="77"/>
    </row>
    <row r="46" s="5" customFormat="1" ht="21" customHeight="1" spans="1:200">
      <c r="A46" s="72"/>
      <c r="B46" s="82"/>
      <c r="C46" s="74"/>
      <c r="D46" s="75"/>
      <c r="E46" s="81"/>
      <c r="F46" s="81"/>
      <c r="G46" s="81"/>
      <c r="H46" s="84"/>
      <c r="DA46" s="77"/>
      <c r="DB46" s="77"/>
      <c r="DC46" s="77"/>
      <c r="DD46" s="77"/>
      <c r="DE46" s="77"/>
      <c r="DF46" s="77"/>
      <c r="DG46" s="77"/>
      <c r="DH46" s="77"/>
      <c r="DI46" s="77"/>
      <c r="DJ46" s="77"/>
      <c r="DK46" s="77"/>
      <c r="DL46" s="77"/>
      <c r="DM46" s="77"/>
      <c r="DN46" s="77"/>
      <c r="DO46" s="77"/>
      <c r="DP46" s="77"/>
      <c r="DQ46" s="77"/>
      <c r="DR46" s="77"/>
      <c r="DS46" s="77"/>
      <c r="DT46" s="77"/>
      <c r="DU46" s="77"/>
      <c r="DV46" s="77"/>
      <c r="DW46" s="77"/>
      <c r="DX46" s="77"/>
      <c r="DY46" s="77"/>
      <c r="DZ46" s="77"/>
    </row>
    <row r="47" s="5" customFormat="1" ht="29.25" customHeight="1" spans="1:200">
      <c r="A47" s="72"/>
      <c r="B47" s="85" t="s">
        <v>46</v>
      </c>
      <c r="C47" s="74"/>
      <c r="D47" s="75"/>
      <c r="E47" s="56"/>
      <c r="F47" s="56"/>
      <c r="G47" s="56"/>
      <c r="H47" s="76"/>
      <c r="DA47" s="77"/>
      <c r="DB47" s="77"/>
      <c r="DC47" s="77"/>
      <c r="DD47" s="77"/>
      <c r="DE47" s="77"/>
      <c r="DF47" s="77"/>
      <c r="DG47" s="77"/>
      <c r="DH47" s="77"/>
      <c r="DI47" s="77"/>
      <c r="DJ47" s="77"/>
      <c r="DK47" s="77"/>
      <c r="DL47" s="77"/>
      <c r="DM47" s="77"/>
      <c r="DN47" s="77"/>
      <c r="DO47" s="77"/>
      <c r="DP47" s="77"/>
      <c r="DQ47" s="77"/>
      <c r="DR47" s="77"/>
      <c r="DS47" s="77"/>
      <c r="DT47" s="77"/>
      <c r="DU47" s="77"/>
      <c r="DV47" s="77"/>
      <c r="DW47" s="77"/>
      <c r="DX47" s="77"/>
      <c r="DY47" s="77"/>
      <c r="DZ47" s="77"/>
    </row>
    <row r="48" s="5" customFormat="1" ht="64" customHeight="1" outlineLevel="1" spans="1:200">
      <c r="A48" s="72"/>
      <c r="B48" s="78" t="s">
        <v>47</v>
      </c>
      <c r="C48" s="74"/>
      <c r="D48" s="75"/>
      <c r="E48" s="81"/>
      <c r="F48" s="81"/>
      <c r="G48" s="81"/>
      <c r="H48" s="84"/>
      <c r="DA48" s="77"/>
      <c r="DB48" s="77"/>
      <c r="DC48" s="77"/>
      <c r="DD48" s="77"/>
      <c r="DE48" s="77"/>
      <c r="DF48" s="77"/>
      <c r="DG48" s="77"/>
      <c r="DH48" s="77"/>
      <c r="DI48" s="77"/>
      <c r="DJ48" s="77"/>
      <c r="DK48" s="77"/>
      <c r="DL48" s="77"/>
      <c r="DM48" s="77"/>
      <c r="DN48" s="77"/>
      <c r="DO48" s="77"/>
      <c r="DP48" s="77"/>
      <c r="DQ48" s="77"/>
      <c r="DR48" s="77"/>
      <c r="DS48" s="77"/>
      <c r="DT48" s="77"/>
      <c r="DU48" s="77"/>
      <c r="DV48" s="77"/>
      <c r="DW48" s="77"/>
      <c r="DX48" s="77"/>
      <c r="DY48" s="77"/>
      <c r="DZ48" s="77"/>
    </row>
    <row r="49" s="5" customFormat="1" ht="97" customHeight="1" outlineLevel="1" spans="1:154">
      <c r="A49" s="72"/>
      <c r="B49" s="86" t="s">
        <v>48</v>
      </c>
      <c r="C49" s="74"/>
      <c r="D49" s="75"/>
      <c r="E49" s="81"/>
      <c r="F49" s="81"/>
      <c r="G49" s="81"/>
      <c r="H49" s="84"/>
      <c r="DA49" s="77"/>
      <c r="DB49" s="77"/>
      <c r="DC49" s="77"/>
      <c r="DD49" s="77"/>
      <c r="DE49" s="77"/>
      <c r="DF49" s="77"/>
      <c r="DG49" s="77"/>
      <c r="DH49" s="77"/>
      <c r="DI49" s="77"/>
      <c r="DJ49" s="77"/>
      <c r="DK49" s="77"/>
      <c r="DL49" s="77"/>
      <c r="DM49" s="77"/>
      <c r="DN49" s="77"/>
      <c r="DO49" s="77"/>
      <c r="DP49" s="77"/>
      <c r="DQ49" s="77"/>
      <c r="DR49" s="77"/>
      <c r="DS49" s="77"/>
      <c r="DT49" s="77"/>
      <c r="DU49" s="77"/>
      <c r="DV49" s="77"/>
      <c r="DW49" s="77"/>
      <c r="DX49" s="77"/>
      <c r="DY49" s="77"/>
      <c r="DZ49" s="77"/>
    </row>
    <row r="50" s="3" customFormat="1" ht="45.75" customHeight="1" outlineLevel="1" spans="1:154">
      <c r="A50" s="44"/>
      <c r="B50" s="86" t="s">
        <v>49</v>
      </c>
      <c r="D50" s="47"/>
      <c r="E50" s="48"/>
      <c r="F50" s="48"/>
      <c r="G50" s="48"/>
      <c r="H50" s="49"/>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row>
    <row r="51" s="5" customFormat="1" ht="27" customHeight="1" outlineLevel="1" spans="1:154">
      <c r="A51" s="72">
        <f>MAX($A$6:A49)+1</f>
        <v>14</v>
      </c>
      <c r="B51" s="87" t="s">
        <v>50</v>
      </c>
      <c r="C51" s="88"/>
      <c r="D51" s="89" t="s">
        <v>44</v>
      </c>
      <c r="E51" s="56"/>
      <c r="F51" s="56"/>
      <c r="G51" s="56"/>
      <c r="H51" s="57">
        <f>ROUND(C51*G51,2)</f>
        <v>0</v>
      </c>
      <c r="DY51" s="77"/>
      <c r="DZ51" s="77"/>
      <c r="EA51" s="77"/>
      <c r="EB51" s="77"/>
      <c r="EC51" s="77"/>
      <c r="ED51" s="77"/>
      <c r="EE51" s="77"/>
      <c r="EF51" s="77"/>
      <c r="EG51" s="77"/>
      <c r="EH51" s="77"/>
      <c r="EI51" s="77"/>
      <c r="EJ51" s="77"/>
      <c r="EK51" s="77"/>
      <c r="EL51" s="77"/>
      <c r="EM51" s="77"/>
      <c r="EN51" s="77"/>
      <c r="EO51" s="77"/>
      <c r="EP51" s="77"/>
      <c r="EQ51" s="77"/>
      <c r="ER51" s="77"/>
      <c r="ES51" s="77"/>
      <c r="ET51" s="77"/>
      <c r="EU51" s="77"/>
      <c r="EV51" s="77"/>
      <c r="EW51" s="77"/>
      <c r="EX51" s="77"/>
    </row>
    <row r="52" s="6" customFormat="1" ht="28.5" customHeight="1" spans="1:154">
      <c r="A52" s="90"/>
      <c r="B52" s="91"/>
      <c r="C52" s="92"/>
      <c r="D52" s="93"/>
      <c r="E52" s="94"/>
      <c r="F52" s="94"/>
      <c r="G52" s="95" t="s">
        <v>51</v>
      </c>
      <c r="H52" s="96">
        <f>SUM(H17:H51)</f>
        <v>0</v>
      </c>
    </row>
    <row r="53" s="3" customFormat="1" ht="29.25" customHeight="1" spans="1:154">
      <c r="A53" s="44"/>
      <c r="B53" s="97" t="s">
        <v>52</v>
      </c>
      <c r="C53" s="46"/>
      <c r="D53" s="47"/>
      <c r="E53" s="48"/>
      <c r="F53" s="48"/>
      <c r="G53" s="48"/>
      <c r="H53" s="48"/>
      <c r="DA53" s="11"/>
      <c r="DB53" s="11"/>
      <c r="DC53" s="11"/>
      <c r="DD53" s="11"/>
    </row>
    <row r="54" s="3" customFormat="1" ht="78.75" customHeight="1" spans="1:154">
      <c r="A54" s="34"/>
      <c r="B54" s="98" t="s">
        <v>53</v>
      </c>
      <c r="C54" s="99"/>
      <c r="D54" s="100"/>
      <c r="E54" s="101"/>
      <c r="F54" s="101"/>
      <c r="G54" s="101"/>
      <c r="H54" s="101"/>
      <c r="DA54" s="11"/>
      <c r="DB54" s="11"/>
      <c r="DC54" s="11"/>
      <c r="DD54" s="11"/>
    </row>
    <row r="55" s="6" customFormat="1" ht="28.5" customHeight="1" spans="1:154">
      <c r="A55" s="102"/>
      <c r="B55" s="103"/>
      <c r="C55" s="104"/>
      <c r="D55" s="105"/>
      <c r="E55" s="106"/>
      <c r="F55" s="106"/>
      <c r="G55" s="107" t="s">
        <v>54</v>
      </c>
      <c r="H55" s="48">
        <f>SUM(H53:H54)</f>
        <v>0</v>
      </c>
    </row>
    <row r="56" s="6" customFormat="1" ht="29.25" customHeight="1" spans="1:154">
      <c r="A56" s="28"/>
      <c r="B56" s="108"/>
      <c r="C56" s="109"/>
      <c r="D56" s="110"/>
      <c r="E56" s="42"/>
      <c r="F56" s="111"/>
      <c r="G56" s="111"/>
      <c r="H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12"/>
      <c r="DY56" s="112"/>
      <c r="DZ56" s="112"/>
      <c r="EA56" s="112"/>
      <c r="EB56" s="112"/>
      <c r="EC56" s="112"/>
      <c r="ED56" s="112"/>
      <c r="EE56" s="112"/>
      <c r="EF56" s="112"/>
      <c r="EG56" s="112"/>
      <c r="EH56" s="112"/>
      <c r="EI56" s="112"/>
      <c r="EJ56" s="112"/>
      <c r="EK56" s="112"/>
      <c r="EL56" s="112"/>
      <c r="EM56" s="112"/>
      <c r="EN56" s="112"/>
      <c r="EO56" s="112"/>
      <c r="EP56" s="112"/>
      <c r="EQ56" s="112"/>
      <c r="ER56" s="112"/>
      <c r="ES56" s="112"/>
      <c r="ET56" s="112"/>
      <c r="EU56" s="112"/>
      <c r="EV56" s="112"/>
      <c r="EW56" s="112"/>
    </row>
    <row r="57" s="3" customFormat="1" ht="29.25" customHeight="1" spans="1:154">
      <c r="A57" s="44"/>
      <c r="B57" s="113"/>
      <c r="C57" s="114"/>
      <c r="D57" s="115"/>
      <c r="E57" s="48"/>
      <c r="F57" s="116"/>
      <c r="G57" s="116"/>
      <c r="H57" s="116"/>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row>
    <row r="58" s="3" customFormat="1" ht="29.25" customHeight="1" spans="1:154">
      <c r="A58" s="44"/>
      <c r="B58" s="45" t="s">
        <v>55</v>
      </c>
      <c r="C58" s="117"/>
      <c r="D58" s="118"/>
      <c r="E58" s="119"/>
      <c r="F58" s="119"/>
      <c r="G58" s="116"/>
      <c r="H58" s="116"/>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row>
    <row r="59" s="3" customFormat="1" ht="29.25" customHeight="1" spans="1:154">
      <c r="A59" s="44"/>
      <c r="B59" s="120" t="s">
        <v>56</v>
      </c>
      <c r="C59" s="114"/>
      <c r="D59" s="121"/>
      <c r="E59" s="122"/>
      <c r="F59" s="122"/>
      <c r="G59" s="116"/>
      <c r="H59" s="116"/>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row>
    <row r="60" s="3" customFormat="1" ht="29.25" customHeight="1" spans="1:154">
      <c r="A60" s="44"/>
      <c r="B60" s="113"/>
      <c r="C60" s="114"/>
      <c r="D60" s="115"/>
      <c r="E60" s="48"/>
      <c r="F60" s="116"/>
      <c r="G60" s="116"/>
      <c r="H60" s="116"/>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row>
    <row r="61" s="3" customFormat="1" ht="29.25" customHeight="1" spans="1:154">
      <c r="A61" s="44"/>
      <c r="B61" s="120" t="s">
        <v>57</v>
      </c>
      <c r="C61" s="114"/>
      <c r="D61" s="121"/>
      <c r="E61" s="122"/>
      <c r="F61" s="122"/>
      <c r="G61" s="116"/>
      <c r="H61" s="116"/>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row>
    <row r="62" s="3" customFormat="1" ht="29.25" customHeight="1" spans="1:154">
      <c r="A62" s="44"/>
      <c r="B62" s="120" t="s">
        <v>58</v>
      </c>
      <c r="C62" s="114"/>
      <c r="D62" s="123" t="s">
        <v>59</v>
      </c>
      <c r="E62" s="122"/>
      <c r="F62" s="122"/>
      <c r="G62" s="116"/>
      <c r="H62" s="57">
        <f>+H52</f>
        <v>0</v>
      </c>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row>
    <row r="63" s="3" customFormat="1" ht="29.25" customHeight="1" spans="1:154">
      <c r="A63" s="44"/>
      <c r="B63" s="124" t="s">
        <v>60</v>
      </c>
      <c r="C63" s="114"/>
      <c r="D63" s="123" t="s">
        <v>59</v>
      </c>
      <c r="E63" s="122"/>
      <c r="F63" s="122"/>
      <c r="G63" s="116"/>
      <c r="H63" s="57">
        <f>+H55</f>
        <v>0</v>
      </c>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row>
    <row r="64" s="3" customFormat="1" ht="29.25" customHeight="1" spans="1:154">
      <c r="A64" s="44"/>
      <c r="B64" s="113"/>
      <c r="C64" s="125"/>
      <c r="D64" s="126"/>
      <c r="E64" s="127"/>
      <c r="F64" s="128"/>
      <c r="G64" s="128"/>
      <c r="H64" s="128"/>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row>
    <row r="65" s="3" customFormat="1" ht="29.25" customHeight="1" spans="1:130">
      <c r="A65" s="44"/>
      <c r="B65" s="113"/>
      <c r="C65" s="125"/>
      <c r="D65" s="126"/>
      <c r="E65" s="127"/>
      <c r="F65" s="128"/>
      <c r="G65" s="128"/>
      <c r="H65" s="128"/>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row>
    <row r="66" s="3" customFormat="1" ht="29.25" customHeight="1" spans="1:130">
      <c r="A66" s="44"/>
      <c r="B66" s="113"/>
      <c r="C66" s="125"/>
      <c r="D66" s="126"/>
      <c r="E66" s="127"/>
      <c r="F66" s="128"/>
      <c r="G66" s="128"/>
      <c r="H66" s="128"/>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row>
    <row r="67" s="3" customFormat="1" ht="29.25" customHeight="1" spans="1:130">
      <c r="A67" s="34"/>
      <c r="B67" s="129"/>
      <c r="C67" s="35"/>
      <c r="D67" s="130"/>
      <c r="E67" s="131"/>
      <c r="F67" s="132"/>
      <c r="G67" s="132"/>
      <c r="H67" s="132"/>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row>
    <row r="68" s="3" customFormat="1" ht="29.25" customHeight="1" spans="1:130">
      <c r="A68" s="133"/>
      <c r="B68" s="134" t="s">
        <v>61</v>
      </c>
      <c r="C68" s="135"/>
      <c r="D68" s="136"/>
      <c r="E68" s="134"/>
      <c r="F68" s="134"/>
      <c r="G68" s="134"/>
      <c r="H68" s="137">
        <f>SUM(H62:H67)</f>
        <v>0</v>
      </c>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row>
    <row r="69" s="3" customFormat="1" ht="29.25" customHeight="1" spans="1:130">
      <c r="A69" s="7"/>
      <c r="C69" s="8"/>
      <c r="D69" s="9"/>
      <c r="E69" s="10"/>
      <c r="F69" s="10"/>
      <c r="G69" s="10"/>
      <c r="H69" s="10"/>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row>
    <row r="70" ht="29.25" customHeight="1"/>
    <row r="71" ht="29.25" customHeight="1" spans="1:130">
      <c r="H71" s="138" t="s">
        <v>62</v>
      </c>
    </row>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row r="201" ht="29.25" customHeight="1"/>
    <row r="202" ht="29.25" customHeight="1"/>
    <row r="203" ht="29.25" customHeight="1"/>
    <row r="204" ht="29.25" customHeight="1"/>
    <row r="205" ht="29.25" customHeight="1"/>
    <row r="206" ht="29.25" customHeight="1"/>
    <row r="207" ht="29.25" customHeight="1"/>
    <row r="208" ht="29.25" customHeight="1"/>
    <row r="209" ht="29.25" customHeight="1"/>
    <row r="210" ht="29.25" customHeight="1"/>
    <row r="211" ht="29.25" customHeight="1"/>
    <row r="212" ht="29.25" customHeight="1"/>
    <row r="213" ht="29.25" customHeight="1"/>
    <row r="214" ht="29.25" customHeight="1"/>
    <row r="215" ht="29.25" customHeight="1"/>
    <row r="216" ht="29.25" customHeight="1"/>
    <row r="217" ht="29.25" customHeight="1"/>
    <row r="218" ht="29.25" customHeight="1"/>
    <row r="219" ht="29.25" customHeight="1"/>
    <row r="220" ht="29.25" customHeight="1"/>
    <row r="221" ht="29.25" customHeight="1"/>
    <row r="222" ht="29.25" customHeight="1"/>
    <row r="223" ht="29.25" customHeight="1"/>
    <row r="224" ht="29.25" customHeight="1"/>
    <row r="225" ht="29.25" customHeight="1"/>
    <row r="226" ht="29.25" customHeight="1"/>
    <row r="227" ht="29.25" customHeight="1"/>
    <row r="228" ht="29.25" customHeight="1"/>
    <row r="229" ht="29.25" customHeight="1"/>
    <row r="230" ht="29.25" customHeight="1"/>
    <row r="231" ht="29.25" customHeight="1"/>
    <row r="232" ht="29.25" customHeight="1"/>
    <row r="233" ht="29.25" customHeight="1"/>
    <row r="234" ht="29.25" customHeight="1"/>
    <row r="235" ht="29.25" customHeight="1"/>
    <row r="236" ht="29.25" customHeight="1"/>
    <row r="237" ht="29.25" customHeight="1"/>
    <row r="238" ht="29.25" customHeight="1"/>
    <row r="239" ht="29.25" customHeight="1"/>
    <row r="240" ht="29.25" customHeight="1"/>
    <row r="241" ht="29.25" customHeight="1"/>
    <row r="242" ht="29.25" customHeight="1"/>
    <row r="243" ht="29.25" customHeight="1"/>
    <row r="244" ht="29.25" customHeight="1"/>
    <row r="245" ht="29.25" customHeight="1"/>
    <row r="246" ht="29.25" customHeight="1"/>
    <row r="247" ht="29.25" customHeight="1"/>
    <row r="248" ht="29.25" customHeight="1"/>
    <row r="249" ht="29.25" customHeight="1"/>
    <row r="250" ht="29.25" customHeight="1"/>
    <row r="251" ht="29.25" customHeight="1"/>
    <row r="252" ht="29.25" customHeight="1"/>
    <row r="253" ht="29.25" customHeight="1"/>
    <row r="254" ht="29.25" customHeight="1"/>
    <row r="255" ht="29.25" customHeight="1"/>
    <row r="256" ht="29.25" customHeight="1"/>
    <row r="257" ht="29.25" customHeight="1"/>
    <row r="258" ht="29.25" customHeight="1"/>
    <row r="259" ht="29.25" customHeight="1"/>
    <row r="260" ht="29.25" customHeight="1"/>
    <row r="261" ht="29.25" customHeight="1"/>
    <row r="262" ht="29.25" customHeight="1"/>
    <row r="263" ht="29.25" customHeight="1"/>
    <row r="264" ht="29.25" customHeight="1"/>
    <row r="265" ht="29.25" customHeight="1"/>
    <row r="266" ht="29.25" customHeight="1"/>
    <row r="267" ht="29.25" customHeight="1"/>
    <row r="268" ht="29.25" customHeight="1"/>
    <row r="269" ht="29.25" customHeight="1"/>
    <row r="270" ht="29.25" customHeight="1"/>
    <row r="271" ht="29.25" customHeight="1"/>
    <row r="272" ht="29.25" customHeight="1"/>
    <row r="273" ht="29.25" customHeight="1"/>
    <row r="274" ht="29.25" customHeight="1"/>
    <row r="275" ht="29.25" customHeight="1"/>
    <row r="276" ht="29.25" customHeight="1"/>
    <row r="277" ht="29.25" customHeight="1"/>
    <row r="278" ht="29.25" customHeight="1"/>
    <row r="279" ht="29.25" customHeight="1"/>
    <row r="280" ht="29.25" customHeight="1"/>
    <row r="281" ht="29.25" customHeight="1"/>
    <row r="282" ht="29.25" customHeight="1"/>
    <row r="283" ht="29.25" customHeight="1"/>
    <row r="284" ht="29.25" customHeight="1"/>
    <row r="285" ht="29.25" customHeight="1"/>
    <row r="286" ht="29.25" customHeight="1"/>
    <row r="287" ht="29.25" customHeight="1"/>
    <row r="288" ht="29.25" customHeight="1"/>
    <row r="289" ht="29.25" customHeight="1"/>
    <row r="290" ht="29.25" customHeight="1"/>
    <row r="291" ht="29.25" customHeight="1"/>
    <row r="292" ht="29.25" customHeight="1"/>
    <row r="293" ht="29.25" customHeight="1"/>
    <row r="294" ht="29.25" customHeight="1"/>
    <row r="295" ht="29.25" customHeight="1"/>
    <row r="296" ht="29.25" customHeight="1"/>
    <row r="297" ht="29.25" customHeight="1"/>
    <row r="298" ht="29.25" customHeight="1"/>
    <row r="299" ht="29.25" customHeight="1"/>
    <row r="300" ht="29.25" customHeight="1"/>
    <row r="301" ht="29.25" customHeight="1"/>
    <row r="302" ht="29.25" customHeight="1"/>
    <row r="303" ht="29.25" customHeight="1"/>
    <row r="304" ht="29.25" customHeight="1"/>
    <row r="305" ht="29.25" customHeight="1"/>
    <row r="306" ht="29.25" customHeight="1"/>
    <row r="307" ht="29.25" customHeight="1"/>
    <row r="308" ht="29.25" customHeight="1"/>
    <row r="309" ht="29.25" customHeight="1"/>
    <row r="310" ht="29.25" customHeight="1"/>
    <row r="311" ht="29.25" customHeight="1"/>
    <row r="312" ht="29.25" customHeight="1"/>
    <row r="313" ht="29.25" customHeight="1"/>
    <row r="314" ht="29.25" customHeight="1"/>
    <row r="315" ht="29.25" customHeight="1"/>
    <row r="316" ht="29.25" customHeight="1"/>
    <row r="317" ht="29.25" customHeight="1"/>
    <row r="318" ht="29.25" customHeight="1"/>
    <row r="319" ht="29.25" customHeight="1"/>
    <row r="320" ht="29.25" customHeight="1"/>
    <row r="321" ht="29.25" customHeight="1"/>
    <row r="322" ht="29.25" customHeight="1"/>
    <row r="323" ht="29.25" customHeight="1"/>
    <row r="324" ht="29.25" customHeight="1"/>
    <row r="325" ht="29.25" customHeight="1"/>
    <row r="326" ht="29.25" customHeight="1"/>
    <row r="327" ht="29.25" customHeight="1"/>
    <row r="328" ht="29.25" customHeight="1"/>
    <row r="329" ht="29.25" customHeight="1"/>
    <row r="330" ht="29.25" customHeight="1"/>
    <row r="331" ht="29.25" customHeight="1"/>
    <row r="332" ht="29.25" customHeight="1"/>
    <row r="333" ht="29.25" customHeight="1"/>
    <row r="334" ht="29.25" customHeight="1"/>
    <row r="335" ht="29.25" customHeight="1"/>
    <row r="336" ht="29.25" customHeight="1"/>
    <row r="337" ht="29.25" customHeight="1"/>
    <row r="338" ht="29.25" customHeight="1"/>
    <row r="339" ht="29.25" customHeight="1"/>
    <row r="340" ht="29.25" customHeight="1"/>
    <row r="341" ht="29.25" customHeight="1"/>
    <row r="342" ht="29.25" customHeight="1"/>
    <row r="343" ht="29.25" customHeight="1"/>
    <row r="344" ht="29.25" customHeight="1"/>
    <row r="345" ht="29.25" customHeight="1"/>
    <row r="346" ht="29.25" customHeight="1"/>
    <row r="347" ht="29.25" customHeight="1"/>
    <row r="348" ht="29.25" customHeight="1"/>
    <row r="349" ht="29.25" customHeight="1"/>
    <row r="350" ht="29.25" customHeight="1"/>
    <row r="351" ht="29.25" customHeight="1"/>
    <row r="352" ht="29.25" customHeight="1"/>
    <row r="353" ht="29.25" customHeight="1"/>
    <row r="354" ht="29.25" customHeight="1"/>
    <row r="355" ht="29.25" customHeight="1"/>
    <row r="356" ht="29.25" customHeight="1"/>
    <row r="357" ht="29.25" customHeight="1"/>
    <row r="358" ht="29.25" customHeight="1"/>
    <row r="359" ht="29.25" customHeight="1"/>
    <row r="360" ht="29.25" customHeight="1"/>
    <row r="361" ht="29.25" customHeight="1"/>
    <row r="362" ht="29.25" customHeight="1"/>
    <row r="363" ht="29.25" customHeight="1"/>
    <row r="364" ht="29.25" customHeight="1"/>
    <row r="365" ht="29.25" customHeight="1"/>
    <row r="366" ht="29.25" customHeight="1"/>
    <row r="367" ht="29.25" customHeight="1"/>
    <row r="368" ht="29.25" customHeight="1"/>
    <row r="369" ht="29.25" customHeight="1"/>
    <row r="370" ht="29.25" customHeight="1"/>
    <row r="371" ht="29.25" customHeight="1"/>
    <row r="372" ht="29.25" customHeight="1"/>
    <row r="373" ht="29.25" customHeight="1"/>
    <row r="374" ht="29.25" customHeight="1"/>
    <row r="375" ht="29.25" customHeight="1"/>
    <row r="376" ht="29.25" customHeight="1"/>
    <row r="377" ht="29.25" customHeight="1"/>
    <row r="378" ht="29.25" customHeight="1"/>
    <row r="379" ht="29.25" customHeight="1"/>
    <row r="380" ht="29.25" customHeight="1"/>
    <row r="381" ht="29.25" customHeight="1"/>
    <row r="382" ht="29.25" customHeight="1"/>
    <row r="383" ht="29.25" customHeight="1"/>
    <row r="384" ht="29.25" customHeight="1"/>
    <row r="385" ht="29.25" customHeight="1"/>
    <row r="386" ht="29.25" customHeight="1"/>
    <row r="387" ht="29.25" customHeight="1"/>
    <row r="388" ht="29.25" customHeight="1"/>
    <row r="389" ht="29.25" customHeight="1"/>
    <row r="390" ht="29.25" customHeight="1"/>
    <row r="391" ht="29.25" customHeight="1"/>
    <row r="392" ht="29.25" customHeight="1"/>
    <row r="393" ht="29.25" customHeight="1"/>
    <row r="394" ht="29.25" customHeight="1"/>
    <row r="395" ht="29.25" customHeight="1"/>
    <row r="396" ht="29.25" customHeight="1"/>
    <row r="397" ht="29.25" customHeight="1"/>
    <row r="398" ht="29.25" customHeight="1"/>
    <row r="399" ht="29.25" customHeight="1"/>
    <row r="400" ht="29.25" customHeight="1"/>
    <row r="401" ht="29.25" customHeight="1"/>
    <row r="402" ht="29.25" customHeight="1"/>
    <row r="403" ht="29.25" customHeight="1"/>
    <row r="404" ht="29.25" customHeight="1"/>
    <row r="405" ht="29.25" customHeight="1"/>
    <row r="406" ht="29.25" customHeight="1"/>
    <row r="407" ht="29.25" customHeight="1"/>
    <row r="408" ht="29.25" customHeight="1"/>
    <row r="409" ht="29.25" customHeight="1"/>
    <row r="410" ht="29.25" customHeight="1"/>
    <row r="411" ht="29.25" customHeight="1"/>
    <row r="412" ht="29.25" customHeight="1"/>
    <row r="413" ht="29.25" customHeight="1"/>
    <row r="414" ht="29.25" customHeight="1"/>
    <row r="415" ht="29.25" customHeight="1"/>
    <row r="416" ht="29.25" customHeight="1"/>
    <row r="417" ht="29.25" customHeight="1"/>
    <row r="418" ht="29.25" customHeight="1"/>
    <row r="419" ht="29.25" customHeight="1"/>
    <row r="420" ht="29.25" customHeight="1"/>
    <row r="421" ht="29.25" customHeight="1"/>
    <row r="422" ht="29.25" customHeight="1"/>
    <row r="423" ht="29.25" customHeight="1"/>
    <row r="424" ht="29.25" customHeight="1"/>
    <row r="425" ht="29.25" customHeight="1"/>
    <row r="426" ht="29.25" customHeight="1"/>
    <row r="427" ht="29.25" customHeight="1"/>
    <row r="428" ht="29.25" customHeight="1"/>
    <row r="429" ht="29.25" customHeight="1"/>
    <row r="430" ht="29.25" customHeight="1"/>
    <row r="431" ht="29.25" customHeight="1"/>
    <row r="432" ht="29.25" customHeight="1"/>
    <row r="433" ht="29.25" customHeight="1"/>
    <row r="434" ht="29.25" customHeight="1"/>
    <row r="435" ht="29.25" customHeight="1"/>
    <row r="436" ht="29.25" customHeight="1"/>
    <row r="437" ht="29.25" customHeight="1"/>
    <row r="438" ht="29.25" customHeight="1"/>
    <row r="439" ht="29.25" customHeight="1"/>
    <row r="440" ht="29.25" customHeight="1"/>
    <row r="441" ht="29.25" customHeight="1"/>
    <row r="442" ht="29.25" customHeight="1"/>
    <row r="443" ht="29.25" customHeight="1"/>
    <row r="444" ht="29.25" customHeight="1"/>
    <row r="445" ht="29.25" customHeight="1"/>
    <row r="446" ht="29.25" customHeight="1"/>
    <row r="447" ht="29.25" customHeight="1"/>
    <row r="448" ht="29.25" customHeight="1"/>
    <row r="449" ht="29.25" customHeight="1"/>
    <row r="450" ht="29.25" customHeight="1"/>
    <row r="451" ht="29.25" customHeight="1"/>
    <row r="452" ht="29.25" customHeight="1"/>
    <row r="453" ht="29.25" customHeight="1"/>
    <row r="454" ht="29.25" customHeight="1"/>
    <row r="455" ht="29.25" customHeight="1"/>
    <row r="456" ht="29.25" customHeight="1"/>
    <row r="457" ht="29.25" customHeight="1"/>
    <row r="458" ht="29.25" customHeight="1"/>
    <row r="459" ht="29.25" customHeight="1"/>
    <row r="460" ht="29.25" customHeight="1"/>
    <row r="461" ht="29.25" customHeight="1"/>
    <row r="462" ht="29.25" customHeight="1"/>
    <row r="463" ht="29.25" customHeight="1"/>
    <row r="464" ht="29.25" customHeight="1"/>
    <row r="465" ht="29.25" customHeight="1"/>
    <row r="466" ht="29.25" customHeight="1"/>
    <row r="467" ht="29.25" customHeight="1"/>
    <row r="468" ht="29.25" customHeight="1"/>
    <row r="469" ht="29.25" customHeight="1"/>
    <row r="470" ht="29.25" customHeight="1"/>
    <row r="471" ht="29.25" customHeight="1"/>
    <row r="472" ht="29.25" customHeight="1"/>
    <row r="473" ht="29.25" customHeight="1"/>
    <row r="474" ht="29.25" customHeight="1"/>
    <row r="475" ht="29.25" customHeight="1"/>
    <row r="476" ht="29.25" customHeight="1"/>
    <row r="477" ht="29.25" customHeight="1"/>
    <row r="478" ht="29.25" customHeight="1"/>
    <row r="479" ht="29.25" customHeight="1"/>
    <row r="480" ht="29.25" customHeight="1"/>
    <row r="481" ht="29.25" customHeight="1"/>
    <row r="482" ht="29.25" customHeight="1"/>
    <row r="483" ht="29.25" customHeight="1"/>
    <row r="484" ht="29.25" customHeight="1"/>
    <row r="485" ht="29.25" customHeight="1"/>
    <row r="486" ht="29.25" customHeight="1"/>
    <row r="487" ht="29.25" customHeight="1"/>
    <row r="488" ht="29.25" customHeight="1"/>
    <row r="489" ht="29.25" customHeight="1"/>
    <row r="490" ht="29.25" customHeight="1"/>
    <row r="491" ht="29.25" customHeight="1"/>
    <row r="492" ht="29.25" customHeight="1"/>
    <row r="493" ht="29.25" customHeight="1"/>
    <row r="494" ht="29.25" customHeight="1"/>
    <row r="495" ht="29.25" customHeight="1"/>
    <row r="496" ht="29.25" customHeight="1"/>
    <row r="497" ht="29.25" customHeight="1"/>
    <row r="498" ht="29.25" customHeight="1"/>
    <row r="499" ht="29.25" customHeight="1"/>
    <row r="500" ht="29.25" customHeight="1"/>
    <row r="501" ht="29.25" customHeight="1"/>
    <row r="502" ht="29.25" customHeight="1"/>
    <row r="503" ht="29.25" customHeight="1"/>
    <row r="504" ht="29.25" customHeight="1"/>
    <row r="505" ht="29.25" customHeight="1"/>
    <row r="506" ht="29.25" customHeight="1"/>
    <row r="507" ht="29.25" customHeight="1"/>
    <row r="508" ht="29.25" customHeight="1"/>
    <row r="509" ht="29.25" customHeight="1"/>
    <row r="510" ht="29.25" customHeight="1"/>
    <row r="511" ht="29.25" customHeight="1"/>
    <row r="512" ht="29.25" customHeight="1"/>
    <row r="513" ht="29.25" customHeight="1"/>
    <row r="514" ht="29.25" customHeight="1"/>
    <row r="515" ht="29.25" customHeight="1"/>
    <row r="516" ht="29.25" customHeight="1"/>
    <row r="517" ht="29.25" customHeight="1"/>
    <row r="518" ht="29.25" customHeight="1"/>
    <row r="519" ht="29.25" customHeight="1"/>
    <row r="520" ht="29.25" customHeight="1"/>
    <row r="521" ht="29.25" customHeight="1"/>
    <row r="522" ht="29.25" customHeight="1"/>
    <row r="523" ht="29.25" customHeight="1"/>
    <row r="524" ht="29.25" customHeight="1"/>
    <row r="525" ht="29.25" customHeight="1"/>
    <row r="526" ht="29.25" customHeight="1"/>
    <row r="527" ht="29.25" customHeight="1"/>
    <row r="528" ht="29.25" customHeight="1"/>
    <row r="529" ht="29.25" customHeight="1"/>
    <row r="530" ht="29.25" customHeight="1"/>
    <row r="531" ht="29.25" customHeight="1"/>
    <row r="532" ht="29.25" customHeight="1"/>
    <row r="533" ht="29.25" customHeight="1"/>
    <row r="534" ht="29.25" customHeight="1"/>
    <row r="535" ht="29.25" customHeight="1"/>
    <row r="536" ht="29.25" customHeight="1"/>
    <row r="537" ht="29.25" customHeight="1"/>
    <row r="538" ht="29.25" customHeight="1"/>
    <row r="539" ht="29.25" customHeight="1"/>
    <row r="540" ht="29.25" customHeight="1"/>
    <row r="541" ht="29.25" customHeight="1"/>
    <row r="542" ht="29.25" customHeight="1"/>
    <row r="543" ht="29.25" customHeight="1"/>
    <row r="544" ht="29.25" customHeight="1"/>
    <row r="545" ht="29.25" customHeight="1"/>
    <row r="546" ht="29.25" customHeight="1"/>
    <row r="547" ht="29.25" customHeight="1"/>
    <row r="548" ht="29.25" customHeight="1"/>
    <row r="549" ht="29.25" customHeight="1"/>
    <row r="550" ht="29.25" customHeight="1"/>
    <row r="551" ht="29.25" customHeight="1"/>
    <row r="552" ht="29.25" customHeight="1"/>
    <row r="553" ht="29.25" customHeight="1"/>
    <row r="554" ht="29.25" customHeight="1"/>
    <row r="555" ht="29.25" customHeight="1"/>
    <row r="556" ht="29.25" customHeight="1"/>
    <row r="557" ht="29.25" customHeight="1"/>
    <row r="558" ht="29.25" customHeight="1"/>
    <row r="559" ht="29.25" customHeight="1"/>
    <row r="560" ht="29.25" customHeight="1"/>
    <row r="561" ht="29.25" customHeight="1"/>
    <row r="562" ht="29.25" customHeight="1"/>
    <row r="563" ht="29.25" customHeight="1"/>
    <row r="564" ht="29.25" customHeight="1"/>
    <row r="565" ht="29.25" customHeight="1"/>
    <row r="566" ht="29.25" customHeight="1"/>
    <row r="567" ht="29.25" customHeight="1"/>
    <row r="568" ht="29.25" customHeight="1"/>
    <row r="569" ht="29.25" customHeight="1"/>
    <row r="570" ht="29.25" customHeight="1"/>
    <row r="571" ht="29.25" customHeight="1"/>
    <row r="572" ht="29.25" customHeight="1"/>
    <row r="573" ht="29.25" customHeight="1"/>
    <row r="574" ht="29.25" customHeight="1"/>
    <row r="575" ht="29.25" customHeight="1"/>
    <row r="576" ht="29.25" customHeight="1"/>
    <row r="577" ht="29.25" customHeight="1"/>
    <row r="578" ht="29.25" customHeight="1"/>
    <row r="579" ht="29.25" customHeight="1"/>
    <row r="580" ht="29.25" customHeight="1"/>
    <row r="581" ht="29.25" customHeight="1"/>
    <row r="582" ht="29.25" customHeight="1"/>
    <row r="583" ht="29.25" customHeight="1"/>
    <row r="584" ht="29.25" customHeight="1"/>
    <row r="585" ht="29.25" customHeight="1"/>
    <row r="586" ht="29.25" customHeight="1"/>
    <row r="587" ht="29.25" customHeight="1"/>
    <row r="588" ht="29.25" customHeight="1"/>
    <row r="589" ht="29.25" customHeight="1"/>
    <row r="590" ht="29.25" customHeight="1"/>
    <row r="591" ht="29.25" customHeight="1"/>
    <row r="592" ht="29.25" customHeight="1"/>
    <row r="593" ht="29.25" customHeight="1"/>
    <row r="594" ht="29.25" customHeight="1"/>
    <row r="595" ht="29.25" customHeight="1"/>
    <row r="596" ht="29.25" customHeight="1"/>
    <row r="597" ht="29.25" customHeight="1"/>
    <row r="598" ht="29.25" customHeight="1"/>
    <row r="599" ht="29.25" customHeight="1"/>
    <row r="600" ht="29.25" customHeight="1"/>
    <row r="601" ht="29.25" customHeight="1"/>
    <row r="602" ht="29.25" customHeight="1"/>
    <row r="603" ht="29.25" customHeight="1"/>
    <row r="604" ht="29.25" customHeight="1"/>
    <row r="605" ht="29.25" customHeight="1"/>
    <row r="606" ht="29.25" customHeight="1"/>
    <row r="607" ht="29.25" customHeight="1"/>
    <row r="608" ht="29.25" customHeight="1"/>
    <row r="609" ht="29.25" customHeight="1"/>
    <row r="610" ht="29.25" customHeight="1"/>
    <row r="611" ht="29.25" customHeight="1"/>
    <row r="612" ht="29.25" customHeight="1"/>
    <row r="613" ht="29.25" customHeight="1"/>
    <row r="614" ht="29.25" customHeight="1"/>
    <row r="615" ht="29.25" customHeight="1"/>
    <row r="616" ht="29.25" customHeight="1"/>
    <row r="617" ht="29.25" customHeight="1"/>
    <row r="618" ht="29.25" customHeight="1"/>
    <row r="619" ht="29.25" customHeight="1"/>
    <row r="620" ht="29.25" customHeight="1"/>
    <row r="621" ht="29.25" customHeight="1"/>
    <row r="622" ht="29.25" customHeight="1"/>
    <row r="623" ht="29.25" customHeight="1"/>
    <row r="624" ht="29.25" customHeight="1"/>
    <row r="625" ht="29.25" customHeight="1"/>
    <row r="626" ht="29.25" customHeight="1"/>
    <row r="627" ht="29.25" customHeight="1"/>
    <row r="628" ht="29.25" customHeight="1"/>
    <row r="629" ht="29.25" customHeight="1"/>
    <row r="630" ht="29.25" customHeight="1"/>
    <row r="631" ht="29.25" customHeight="1"/>
    <row r="632" ht="29.25" customHeight="1"/>
    <row r="633" ht="29.25" customHeight="1"/>
    <row r="634" ht="29.25" customHeight="1"/>
    <row r="635" ht="29.25" customHeight="1"/>
    <row r="636" ht="29.25" customHeight="1"/>
    <row r="637" ht="29.25" customHeight="1"/>
    <row r="638" ht="29.25" customHeight="1"/>
    <row r="639" ht="29.25" customHeight="1"/>
    <row r="640" ht="29.25" customHeight="1"/>
    <row r="641" ht="29.25" customHeight="1"/>
    <row r="642" ht="29.25" customHeight="1"/>
    <row r="643" ht="29.25" customHeight="1"/>
    <row r="644" ht="29.25" customHeight="1"/>
    <row r="645" ht="29.25" customHeight="1"/>
    <row r="646" ht="29.25" customHeight="1"/>
    <row r="647" ht="29.25" customHeight="1"/>
    <row r="648" ht="29.25" customHeight="1"/>
    <row r="649" ht="29.25" customHeight="1"/>
    <row r="650" ht="29.25" customHeight="1"/>
    <row r="651" ht="29.25" customHeight="1"/>
    <row r="652" ht="29.25" customHeight="1"/>
    <row r="653" ht="29.25" customHeight="1"/>
    <row r="654" ht="29.25" customHeight="1"/>
    <row r="655" ht="29.25" customHeight="1"/>
    <row r="656" ht="29.25" customHeight="1"/>
    <row r="657" ht="29.25" customHeight="1"/>
    <row r="658" ht="29.25" customHeight="1"/>
    <row r="659" ht="29.25" customHeight="1"/>
    <row r="660" ht="29.25" customHeight="1"/>
    <row r="661" ht="29.25" customHeight="1"/>
    <row r="662" ht="29.25" customHeight="1"/>
    <row r="663" ht="29.25" customHeight="1"/>
    <row r="664" ht="29.25" customHeight="1"/>
    <row r="665" ht="29.25" customHeight="1"/>
    <row r="666" ht="29.25" customHeight="1"/>
    <row r="667" ht="29.25" customHeight="1"/>
    <row r="668" ht="29.25" customHeight="1"/>
    <row r="669" ht="29.25" customHeight="1"/>
    <row r="670" ht="29.25" customHeight="1"/>
    <row r="671" ht="29.25" customHeight="1"/>
    <row r="672" ht="29.25" customHeight="1"/>
    <row r="673" ht="29.25" customHeight="1"/>
    <row r="674" ht="29.25" customHeight="1"/>
    <row r="675" ht="29.25" customHeight="1"/>
    <row r="676" ht="29.25" customHeight="1"/>
    <row r="677" ht="29.25" customHeight="1"/>
    <row r="678" ht="29.25" customHeight="1"/>
    <row r="679" ht="29.25" customHeight="1"/>
    <row r="680" ht="29.25" customHeight="1"/>
    <row r="681" ht="29.25" customHeight="1"/>
    <row r="682" ht="29.25" customHeight="1"/>
    <row r="683" ht="29.25" customHeight="1"/>
    <row r="684" ht="29.25" customHeight="1"/>
    <row r="685" ht="29.25" customHeight="1"/>
    <row r="686" ht="29.25" customHeight="1"/>
    <row r="687" ht="29.25" customHeight="1"/>
    <row r="688" ht="29.25" customHeight="1"/>
    <row r="689" ht="29.25" customHeight="1"/>
    <row r="690" ht="29.25" customHeight="1"/>
    <row r="691" ht="29.25" customHeight="1"/>
    <row r="692" ht="29.25" customHeight="1"/>
    <row r="693" ht="29.25" customHeight="1"/>
    <row r="694" ht="29.25" customHeight="1"/>
    <row r="695" ht="29.25" customHeight="1"/>
    <row r="696" ht="29.25" customHeight="1"/>
    <row r="697" ht="29.25" customHeight="1"/>
    <row r="698" ht="29.25" customHeight="1"/>
    <row r="699" ht="29.25" customHeight="1"/>
    <row r="700" ht="29.25" customHeight="1"/>
    <row r="701" ht="29.25" customHeight="1"/>
    <row r="702" ht="29.25" customHeight="1"/>
    <row r="703" ht="29.25" customHeight="1"/>
    <row r="704" ht="29.25" customHeight="1"/>
    <row r="705" ht="29.25" customHeight="1"/>
    <row r="706" ht="29.25" customHeight="1"/>
    <row r="707" ht="29.25" customHeight="1"/>
    <row r="708" ht="29.25" customHeight="1"/>
    <row r="709" ht="29.25" customHeight="1"/>
    <row r="710" ht="29.25" customHeight="1"/>
    <row r="711" ht="29.25" customHeight="1"/>
    <row r="712" ht="29.25" customHeight="1"/>
    <row r="713" ht="29.25" customHeight="1"/>
    <row r="714" ht="29.25" customHeight="1"/>
    <row r="715" ht="29.25" customHeight="1"/>
    <row r="716" ht="29.25" customHeight="1"/>
    <row r="717" ht="29.25" customHeight="1"/>
    <row r="718" ht="29.25" customHeight="1"/>
    <row r="719" ht="29.25" customHeight="1"/>
    <row r="720" ht="29.25" customHeight="1"/>
    <row r="721" ht="29.25" customHeight="1"/>
    <row r="722" ht="29.25" customHeight="1"/>
    <row r="723" ht="29.25" customHeight="1"/>
    <row r="724" ht="29.25" customHeight="1"/>
    <row r="725" ht="29.25" customHeight="1"/>
    <row r="726" ht="29.25" customHeight="1"/>
    <row r="727" ht="29.25" customHeight="1"/>
    <row r="728" ht="29.25" customHeight="1"/>
    <row r="729" ht="29.25" customHeight="1"/>
    <row r="730" ht="29.25" customHeight="1"/>
    <row r="731" ht="29.25" customHeight="1"/>
    <row r="732" ht="29.25" customHeight="1"/>
    <row r="733" ht="29.25" customHeight="1"/>
    <row r="734" ht="29.25" customHeight="1"/>
    <row r="735" ht="29.25" customHeight="1"/>
    <row r="736" ht="29.25" customHeight="1"/>
    <row r="737" ht="29.25" customHeight="1"/>
    <row r="738" ht="29.25" customHeight="1"/>
    <row r="739" ht="29.25" customHeight="1"/>
    <row r="740" ht="29.25" customHeight="1"/>
    <row r="741" ht="29.25" customHeight="1"/>
    <row r="742" ht="29.25" customHeight="1"/>
    <row r="743" ht="29.25" customHeight="1"/>
    <row r="744" ht="29.25" customHeight="1"/>
    <row r="745" ht="29.25" customHeight="1"/>
    <row r="746" ht="29.25" customHeight="1"/>
    <row r="747" ht="29.25" customHeight="1"/>
    <row r="748" ht="29.25" customHeight="1"/>
    <row r="749" ht="29.25" customHeight="1"/>
    <row r="750" ht="29.25" customHeight="1"/>
    <row r="751" ht="29.25" customHeight="1"/>
    <row r="752" ht="29.25" customHeight="1"/>
    <row r="753" ht="29.25" customHeight="1"/>
    <row r="754" ht="29.25" customHeight="1"/>
    <row r="755" ht="29.25" customHeight="1"/>
    <row r="756" ht="29.25" customHeight="1"/>
    <row r="757" ht="29.25" customHeight="1"/>
    <row r="758" ht="29.25" customHeight="1"/>
    <row r="759" ht="29.25" customHeight="1"/>
    <row r="760" ht="29.25" customHeight="1"/>
    <row r="761" ht="29.25" customHeight="1"/>
    <row r="762" ht="29.25" customHeight="1"/>
    <row r="763" ht="29.25" customHeight="1"/>
    <row r="764" ht="29.25" customHeight="1"/>
    <row r="765" ht="29.25" customHeight="1"/>
    <row r="766" ht="29.25" customHeight="1"/>
    <row r="767" ht="29.25" customHeight="1"/>
    <row r="768" ht="29.25" customHeight="1"/>
    <row r="769" ht="29.25" customHeight="1"/>
    <row r="770" ht="29.25" customHeight="1"/>
    <row r="771" ht="29.25" customHeight="1"/>
    <row r="772" ht="29.25" customHeight="1"/>
    <row r="773" ht="29.25" customHeight="1"/>
    <row r="774" ht="29.25" customHeight="1"/>
    <row r="775" ht="29.25" customHeight="1"/>
    <row r="776" ht="29.25" customHeight="1"/>
    <row r="777" ht="29.25" customHeight="1"/>
    <row r="778" ht="29.25" customHeight="1"/>
    <row r="779" ht="29.25" customHeight="1"/>
    <row r="780" ht="29.25" customHeight="1"/>
    <row r="781" ht="29.25" customHeight="1"/>
    <row r="782" ht="29.25" customHeight="1"/>
    <row r="783" ht="29.25" customHeight="1"/>
    <row r="784" ht="29.25" customHeight="1"/>
    <row r="785" ht="29.25" customHeight="1"/>
  </sheetData>
  <sheetProtection formatCells="0" formatColumns="0" formatRows="0" insertRows="0" insertColumns="0" insertHyperlinks="0" deleteColumns="0" deleteRows="0" sort="0" autoFilter="0" pivotTables="0"/>
  <autoFilter xmlns:etc="http://www.wps.cn/officeDocument/2017/etCustomData" ref="A1:EW146" etc:filterBottomFollowUsedRange="0">
    <extLst/>
  </autoFilter>
  <mergeCells count="7">
    <mergeCell ref="E6:G6"/>
    <mergeCell ref="B68:G68"/>
    <mergeCell ref="A6:A7"/>
    <mergeCell ref="B6:B7"/>
    <mergeCell ref="C6:C7"/>
    <mergeCell ref="D6:D7"/>
    <mergeCell ref="H6:H7"/>
  </mergeCells>
  <printOptions horizontalCentered="1"/>
  <pageMargins left="0.55" right="0.35" top="0.39" bottom="0.59" header="0.31" footer="0.31"/>
  <pageSetup paperSize="9" scale="66" fitToHeight="0" orientation="portrait" horizontalDpi="600" verticalDpi="600"/>
  <headerFooter>
    <oddFooter>&amp;C&amp;"Arial,常规"&amp;9&amp;A/&amp;P</oddFooter>
  </headerFooter>
  <rowBreaks count="1" manualBreakCount="1">
    <brk id="68" max="246"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BQ3.6风雨连廊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25755</dc:creator>
  <cp:lastModifiedBy>向龙铖</cp:lastModifiedBy>
  <dcterms:created xsi:type="dcterms:W3CDTF">2026-10-14T04:17:31Z</dcterms:created>
  <dcterms:modified xsi:type="dcterms:W3CDTF">2026-10-14T04:18:00Z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323CCDD41A4846CEB1FB20FDEAE7D972_11</vt:lpwstr>
  </property>
  <property fmtid="{D5CDD505-2E9C-101B-9397-08002B2CF9AE}" pid="3" name="KSOProductBuildVer">
    <vt:lpwstr>2052-12.1.0.28505</vt:lpwstr>
  </property>
  <property fmtid="{D5CDD505-2E9C-101B-9397-08002B2CF9AE}" pid="4" name="CalculationRule">
    <vt:i4>1</vt:i4>
  </property>
</Properties>
</file>